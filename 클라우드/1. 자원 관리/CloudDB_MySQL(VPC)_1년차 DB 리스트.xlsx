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이력관리\이직\포트폴리오\7. 클라우드\1. 자원 관리\"/>
    </mc:Choice>
  </mc:AlternateContent>
  <xr:revisionPtr revIDLastSave="0" documentId="13_ncr:1_{E4D26A56-DC41-4C9F-9988-0CDEEEE02A9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" i="2"/>
</calcChain>
</file>

<file path=xl/sharedStrings.xml><?xml version="1.0" encoding="utf-8"?>
<sst xmlns="http://schemas.openxmlformats.org/spreadsheetml/2006/main" count="9088" uniqueCount="1276">
  <si>
    <t>DB 서비스 이름</t>
  </si>
  <si>
    <t>DB Role</t>
  </si>
  <si>
    <t>상태</t>
  </si>
  <si>
    <t>DB Server 이름</t>
  </si>
  <si>
    <t>DB Server 타입</t>
  </si>
  <si>
    <t>VPC</t>
  </si>
  <si>
    <t>Subnet</t>
  </si>
  <si>
    <t>Private 도메인</t>
  </si>
  <si>
    <t>Public 도메인</t>
  </si>
  <si>
    <t>생성 일시</t>
  </si>
  <si>
    <t>데이터 스토리지 타입</t>
  </si>
  <si>
    <t>데이터 스토리지 용량</t>
  </si>
  <si>
    <t>데이터 스토리지 암호화 적용</t>
  </si>
  <si>
    <t>DB 엔진 버전</t>
  </si>
  <si>
    <t>DB Port</t>
  </si>
  <si>
    <t>백업 보관일(백업시간)</t>
  </si>
  <si>
    <t>lms-dev-myd-ats-test</t>
  </si>
  <si>
    <t>Master</t>
  </si>
  <si>
    <t>running</t>
  </si>
  <si>
    <t>lms-dev-myd-ats-test-001-4am7</t>
  </si>
  <si>
    <t>G3 - [Standard]2vCPU, 8GB Mem</t>
  </si>
  <si>
    <t>lms-dev-vpc-01</t>
  </si>
  <si>
    <t>lms-dev-sub-prv-test-01</t>
  </si>
  <si>
    <t>db-37a9b8-kr1.vpc-cdb.gov-ntruss.com</t>
  </si>
  <si>
    <t>2026-01-30 오전 10:03 (UTC+09:00)</t>
  </si>
  <si>
    <t>CB1</t>
  </si>
  <si>
    <t>3GB</t>
  </si>
  <si>
    <t>N</t>
  </si>
  <si>
    <t>MYSQL8.4.6</t>
  </si>
  <si>
    <t>3306</t>
  </si>
  <si>
    <t>1일(07:30)</t>
  </si>
  <si>
    <t>Standby Master</t>
  </si>
  <si>
    <t>lms-dev-myd-ats-test-002-4am8</t>
  </si>
  <si>
    <t>lms-prd-myd-math-2026</t>
  </si>
  <si>
    <t>lms-prd-myd-ma-2026-001-49jv</t>
  </si>
  <si>
    <t>lms-prd-vpc-01</t>
  </si>
  <si>
    <t>lms-prd-sub-prv-db-05</t>
  </si>
  <si>
    <t>db-377mgu-kr1.vpc-cdb.gov-ntruss.com</t>
  </si>
  <si>
    <t>2026-01-19 오후 1:34 (UTC+09:00)</t>
  </si>
  <si>
    <t>26GB</t>
  </si>
  <si>
    <t>7일(00:00)</t>
  </si>
  <si>
    <t>lms-prd-myd-ma-2026-002-49jw</t>
  </si>
  <si>
    <t>19GB</t>
  </si>
  <si>
    <t>lms-prd-myd-eng-2026</t>
  </si>
  <si>
    <t>lms-prd-myd-eng-2026-001-49iz</t>
  </si>
  <si>
    <t>lms-prd-sub-prv-db-06</t>
  </si>
  <si>
    <t>db-377kt1-kr1.vpc-cdb.gov-ntruss.com</t>
  </si>
  <si>
    <t>2026-01-19 오전 9:36 (UTC+09:00)</t>
  </si>
  <si>
    <t>lms-prd-myd-eng-2026-002-49j0</t>
  </si>
  <si>
    <t>20GB</t>
  </si>
  <si>
    <t>lms-stg-myd-math-2026</t>
  </si>
  <si>
    <t>Stand Alone</t>
  </si>
  <si>
    <t>lms-stg-myd-ma-2026-001-49iv</t>
  </si>
  <si>
    <t>lms-stg-vpc-01</t>
  </si>
  <si>
    <t>lms-stg-sub-prv-myd-lm-01</t>
  </si>
  <si>
    <t>db-377krf-kr1.vpc-cdb.gov-ntruss.com</t>
  </si>
  <si>
    <t>2026-01-19 오전 9:31 (UTC+09:00)</t>
  </si>
  <si>
    <t>3일(00:30)</t>
  </si>
  <si>
    <t>lms-stg-myd-eng-2026</t>
  </si>
  <si>
    <t>lms-stg-myd-eng-2026-001-49ib</t>
  </si>
  <si>
    <t>lms-stg-sub-prv-myd-lm-02</t>
  </si>
  <si>
    <t>db-377kpt-kr1.vpc-cdb.gov-ntruss.com</t>
  </si>
  <si>
    <t>2026-01-19 오전 9:27 (UTC+09:00)</t>
  </si>
  <si>
    <t>lms-dev-myd-2026-201</t>
  </si>
  <si>
    <t>lms-dev-myd-2026-201-001-48vw</t>
  </si>
  <si>
    <t>lms-dev-sub-prv-myd-201</t>
  </si>
  <si>
    <t>db-376cv4-kr1.vpc-cdb.gov-ntruss.com</t>
  </si>
  <si>
    <t>2026-01-12 오전 9:39 (UTC+09:00)</t>
  </si>
  <si>
    <t>30GB</t>
  </si>
  <si>
    <t>lms-prd-myd-math-w-1</t>
  </si>
  <si>
    <t>lms-prd-myd-math-w-1-001-44v9</t>
  </si>
  <si>
    <t>lms-prd-sub-prv-myd-lw-01</t>
  </si>
  <si>
    <t>db-367kf0-kr1.vpc-cdb.gov-ntruss.com</t>
  </si>
  <si>
    <t>2025-12-08 오후 1:34 (UTC+09:00)</t>
  </si>
  <si>
    <t>MYSQL8.0.42</t>
  </si>
  <si>
    <t>1일(09:45)</t>
  </si>
  <si>
    <t>lms-prd-myd-eng-w-01</t>
  </si>
  <si>
    <t>lms-prd-myd-eng-w-01-001-44v7</t>
  </si>
  <si>
    <t>lms-prd-sub-prv-myd-lm-01</t>
  </si>
  <si>
    <t>db-367kcq-kr1.vpc-cdb.gov-ntruss.com</t>
  </si>
  <si>
    <t>2025-12-08 오후 1:33 (UTC+09:00)</t>
  </si>
  <si>
    <t>18GB</t>
  </si>
  <si>
    <t>1일(12:00)</t>
  </si>
  <si>
    <t>lms-dev-myd-eng-01</t>
  </si>
  <si>
    <t>lms-dev-myd-eng-01-001-3ym8</t>
  </si>
  <si>
    <t>lms-dev-sub-prv-myd-lw-01</t>
  </si>
  <si>
    <t>db-33prej-kr1.vpc-cdb.gov-ntruss.com</t>
  </si>
  <si>
    <t>2025-10-24 오후 3:02 (UTC+09:00)</t>
  </si>
  <si>
    <t>8GB</t>
  </si>
  <si>
    <t>7일(02:00)</t>
  </si>
  <si>
    <t>lms-dev-myd-math-01</t>
  </si>
  <si>
    <t>lms-dev-myd-math-01-001-3ym4</t>
  </si>
  <si>
    <t>lms-dev-sub-prv-myd-lm-01</t>
  </si>
  <si>
    <t>db-33prct-kr1.vpc-cdb.gov-ntruss.com</t>
  </si>
  <si>
    <t>2025-10-24 오후 3:01 (UTC+09:00)</t>
  </si>
  <si>
    <t>10GB</t>
  </si>
  <si>
    <t>lms-prd-myd-lrs-01</t>
  </si>
  <si>
    <t>lms-prd-myd-lrs-01-001-3ryk</t>
  </si>
  <si>
    <t>G3 - [Standard]8vCPU, 32GB Mem</t>
  </si>
  <si>
    <t>lms-prd-sub-prv-pgd-lrs-01</t>
  </si>
  <si>
    <t>db-31q82v-kr1.vpc-cdb.gov-ntruss.com</t>
  </si>
  <si>
    <t>2025-09-10 오후 3:15 (UTC+09:00)</t>
  </si>
  <si>
    <t>134GB</t>
  </si>
  <si>
    <t>lms-prd-myd-lrs-01-002-3uh7</t>
  </si>
  <si>
    <t>2025-09-21 오전 4:24 (UTC+09:00)</t>
  </si>
  <si>
    <t>stt-prd-myd-001</t>
  </si>
  <si>
    <t>stt-prd-myd-001-001-3p5d</t>
  </si>
  <si>
    <t>stt-prd-vpc-01</t>
  </si>
  <si>
    <t>stt-prd-sub-prv-myd-01</t>
  </si>
  <si>
    <t>db-31d308-kr1.vpc-cdb.gov-ntruss.com</t>
  </si>
  <si>
    <t>2025-08-22 오후 2:08 (UTC+09:00)</t>
  </si>
  <si>
    <t>14일(02:00)</t>
  </si>
  <si>
    <t>stt-prd-myd-001-002-3p5e</t>
  </si>
  <si>
    <t>Slave</t>
  </si>
  <si>
    <t>stt-prd-myd-001-003-3pgn</t>
  </si>
  <si>
    <t>db-31f3a6-kr1.vpc-cdb.gov-ntruss.com</t>
  </si>
  <si>
    <t>2025-08-25 오후 1:27 (UTC+09:00)</t>
  </si>
  <si>
    <t>portal-prd-myd-03</t>
  </si>
  <si>
    <t>portal-prd-myd-03-001-3m2y</t>
  </si>
  <si>
    <t>lms-prd-sub-prv-myd-portal-01</t>
  </si>
  <si>
    <t>db-31acmo-kr1.vpc-cdb.gov-ntruss.com</t>
  </si>
  <si>
    <t>2025-08-07 오전 11:06 (UTC+09:00)</t>
  </si>
  <si>
    <t>9GB</t>
  </si>
  <si>
    <t>portal-prd-myd-02</t>
  </si>
  <si>
    <t>portal-prd-myd-02-001-3m2x</t>
  </si>
  <si>
    <t>db-31acmi-kr1.vpc-cdb.gov-ntruss.com</t>
  </si>
  <si>
    <t>2025-08-07 오전 11:05 (UTC+09:00)</t>
  </si>
  <si>
    <t>portal-prd-myd-01</t>
  </si>
  <si>
    <t>portal-prd-myd-01-001-3m2w</t>
  </si>
  <si>
    <t>db-31acmb-kr1.vpc-cdb.gov-ntruss.com</t>
  </si>
  <si>
    <t>2025-08-07 오전 11:04 (UTC+09:00)</t>
  </si>
  <si>
    <t>portal-dev-myd-01</t>
  </si>
  <si>
    <t>portal-dev-myd-01-001-3l8k</t>
  </si>
  <si>
    <t>lms-dev-sub-prv-myd-portal-01</t>
  </si>
  <si>
    <t>db-319kn7-kr1.vpc-cdb.gov-ntruss.com</t>
  </si>
  <si>
    <t>2025-08-01 오후 12:13 (UTC+09:00)</t>
  </si>
  <si>
    <t>lms-stg-myd-lrs-01</t>
  </si>
  <si>
    <t>lms-stg-myd-lrs-01-001-3l1z</t>
  </si>
  <si>
    <t>lms-stg-sub-prv-lrs-db-20</t>
  </si>
  <si>
    <t>db-319f2o-kr1.vpc-cdb.gov-ntruss.com</t>
  </si>
  <si>
    <t>2025-07-31 오전 10:00 (UTC+09:00)</t>
  </si>
  <si>
    <t>251GB</t>
  </si>
  <si>
    <t>lms-comm-ncp-01</t>
  </si>
  <si>
    <t>lms-comm-ncp-01-003-3xfe</t>
  </si>
  <si>
    <t>G2 - [Standard]2vCPU, 8GB Mem</t>
  </si>
  <si>
    <t>lms-comm-vpc-01</t>
  </si>
  <si>
    <t>lms-comm-sub-prv-ncpdb-01</t>
  </si>
  <si>
    <t>db-31931d-kr1.vpc-cdb.gov-ntruss.com</t>
  </si>
  <si>
    <t>2025-10-18 오후 8:07 (UTC+09:00)</t>
  </si>
  <si>
    <t>SSD</t>
  </si>
  <si>
    <t>1일(11:45)</t>
  </si>
  <si>
    <t>lms-comm-ncp-01-004-3xfg</t>
  </si>
  <si>
    <t>2025-10-18 오후 8:27 (UTC+09:00)</t>
  </si>
  <si>
    <t>lms-stg-etb-03</t>
  </si>
  <si>
    <t>lms-stg-etb-03-001-3f07</t>
  </si>
  <si>
    <t>lms-stg-sub-prv-myd-etb-01</t>
  </si>
  <si>
    <t>db-3124ja-kr1.vpc-cdb.gov-ntruss.com</t>
  </si>
  <si>
    <t>2025-06-16 오후 2:18 (UTC+09:00)</t>
  </si>
  <si>
    <t>lms-stg-etb-03-002-3f08</t>
  </si>
  <si>
    <t>lms-stg-csb-03</t>
  </si>
  <si>
    <t>lms-stg-csb-03-001-3f05</t>
  </si>
  <si>
    <t>lms-stg-sub-prv-csb-01</t>
  </si>
  <si>
    <t>db-3124it-kr1.vpc-cdb.gov-ntruss.com</t>
  </si>
  <si>
    <t>2025-06-16 오후 2:17 (UTC+09:00)</t>
  </si>
  <si>
    <t>lms-stg-csb-03-002-3f06</t>
  </si>
  <si>
    <t>lms-stg-etb-02</t>
  </si>
  <si>
    <t>lms-stg-etb-02-003-3ub0</t>
  </si>
  <si>
    <t>db-30vr5l-kr1.vpc-cdb.gov-ntruss.com</t>
  </si>
  <si>
    <t>2025-09-20 오후 1:11 (UTC+09:00)</t>
  </si>
  <si>
    <t>7일(05:15)</t>
  </si>
  <si>
    <t>lms-stg-etb-02-004-3ub5</t>
  </si>
  <si>
    <t>2025-09-20 오후 1:42 (UTC+09:00)</t>
  </si>
  <si>
    <t>lms-stg-csb-02</t>
  </si>
  <si>
    <t>lms-stg-csb-02-005-44zu</t>
  </si>
  <si>
    <t>db-30vr47-kr1.vpc-cdb.gov-ntruss.com</t>
  </si>
  <si>
    <t>2025-12-09 오후 4:07 (UTC+09:00)</t>
  </si>
  <si>
    <t>lms-stg-csb-02-006-4500</t>
  </si>
  <si>
    <t>2025-12-09 오후 4:26 (UTC+09:00)</t>
  </si>
  <si>
    <t>lms-prd-etb-web-01</t>
  </si>
  <si>
    <t>lms-prd-etb-w-01-003-3xc5</t>
  </si>
  <si>
    <t>lms-prd-sub-prv-myd-etb-01</t>
  </si>
  <si>
    <t>db-30k3cf-kr1.vpc-cdb.gov-ntruss.com</t>
  </si>
  <si>
    <t>2025-10-17 오후 10:36 (UTC+09:00)</t>
  </si>
  <si>
    <t>lms-prd-etb-w-01-004-3xce</t>
  </si>
  <si>
    <t>2025-10-17 오후 10:56 (UTC+09:00)</t>
  </si>
  <si>
    <t>lms-prd-csb-w-01</t>
  </si>
  <si>
    <t>lms-prd-csb-w-01-003-3lds</t>
  </si>
  <si>
    <t>G2 - [Standard]8vCPU, 32GB Mem</t>
  </si>
  <si>
    <t>lms-prd-sub-prv-csb-01</t>
  </si>
  <si>
    <t>db-30jak8-kr1.vpc-cdb.gov-ntruss.com</t>
  </si>
  <si>
    <t>2025-08-02 오전 11:13 (UTC+09:00)</t>
  </si>
  <si>
    <t>lms-prd-csb-w-01-004-3le4</t>
  </si>
  <si>
    <t>2025-08-02 오전 11:40 (UTC+09:00)</t>
  </si>
  <si>
    <t>lms-dev-myd-ats-01</t>
  </si>
  <si>
    <t>lms-dev-myd-ats-01-002-3wre</t>
  </si>
  <si>
    <t>lms-dev-sub-prv-ats-01</t>
  </si>
  <si>
    <t>db-30g782-kr1.vpc-cdb.gov-ntruss.com</t>
  </si>
  <si>
    <t>2025-10-14 오후 9:54 (UTC+09:00)</t>
  </si>
  <si>
    <t>3일(07:15)</t>
  </si>
  <si>
    <t>lms-prd-myd-mae34p1083-lm</t>
  </si>
  <si>
    <t>lms-prd-myd-024-lm-005-3uia</t>
  </si>
  <si>
    <t>G2 - [Standard]16vCPU, 64GB Mem</t>
  </si>
  <si>
    <t>lms-prd-sub-prv-myd-lm-08</t>
  </si>
  <si>
    <t>db-30fm83-kr1.vpc-cdb.gov-ntruss.com</t>
  </si>
  <si>
    <t>2025-09-21 오전 9:10 (UTC+09:00)</t>
  </si>
  <si>
    <t>40GB</t>
  </si>
  <si>
    <t>lms-prd-myd-024-lm-006-3ujj</t>
  </si>
  <si>
    <t>2025-09-21 오전 9:49 (UTC+09:00)</t>
  </si>
  <si>
    <t>lms-prd-myd-mae34h1093-lw</t>
  </si>
  <si>
    <t>lms-prd-myd-026-lw-005-3ui9</t>
  </si>
  <si>
    <t>lms-prd-sub-prv-myd-lw-09</t>
  </si>
  <si>
    <t>db-30fla9-kr1.vpc-cdb.gov-ntruss.com</t>
  </si>
  <si>
    <t>13GB</t>
  </si>
  <si>
    <t>lms-prd-myd-026-lw-006-3uji</t>
  </si>
  <si>
    <t>12GB</t>
  </si>
  <si>
    <t>lms-prd-myd-mae34h1092-lw</t>
  </si>
  <si>
    <t>lms-prd-myd-025-lw-005-3xbe</t>
  </si>
  <si>
    <t>db-30fl9k-kr1.vpc-cdb.gov-ntruss.com</t>
  </si>
  <si>
    <t>2025-10-17 오후 9:43 (UTC+09:00)</t>
  </si>
  <si>
    <t>lms-prd-myd-025-lw-006-3xbs</t>
  </si>
  <si>
    <t>2025-10-17 오후 10:07 (UTC+09:00)</t>
  </si>
  <si>
    <t>lms-prd-myd-mae34p1083-lw</t>
  </si>
  <si>
    <t>lms-prd-myd-024-lw-006-3xbt</t>
  </si>
  <si>
    <t>lms-prd-sub-prv-myd-lw-08</t>
  </si>
  <si>
    <t>db-30fl4s-kr1.vpc-cdb.gov-ntruss.com</t>
  </si>
  <si>
    <t>2025-10-17 오후 10:08 (UTC+09:00)</t>
  </si>
  <si>
    <t>14GB</t>
  </si>
  <si>
    <t>lms-prd-myd-024-lw-005-3xbg</t>
  </si>
  <si>
    <t>lms-prd-myd-mae34p1082-lw</t>
  </si>
  <si>
    <t>lms-prd-myd-023-lw-006-3xbu</t>
  </si>
  <si>
    <t>db-30fl47-kr1.vpc-cdb.gov-ntruss.com</t>
  </si>
  <si>
    <t>lms-prd-myd-023-lw-005-3xbh</t>
  </si>
  <si>
    <t>2025-10-17 오후 9:44 (UTC+09:00)</t>
  </si>
  <si>
    <t>lms-prd-myd-mae34h1093-lm</t>
  </si>
  <si>
    <t>lms-prd-myd-026-lm-005-42ab</t>
  </si>
  <si>
    <t>lms-prd-sub-prv-myd-lm-09</t>
  </si>
  <si>
    <t>db-30fl3g-kr1.vpc-cdb.gov-ntruss.com</t>
  </si>
  <si>
    <t>2025-11-15 오후 10:58 (UTC+09:00)</t>
  </si>
  <si>
    <t>32GB</t>
  </si>
  <si>
    <t>lms-prd-myd-026-lm-006-42an</t>
  </si>
  <si>
    <t>2025-11-15 오후 11:38 (UTC+09:00)</t>
  </si>
  <si>
    <t>lms-prd-myd-mae34h1092-lm</t>
  </si>
  <si>
    <t>lms-prd-myd-025-lm-005-3xbf</t>
  </si>
  <si>
    <t>db-30fl2n-kr1.vpc-cdb.gov-ntruss.com</t>
  </si>
  <si>
    <t>31GB</t>
  </si>
  <si>
    <t>lms-prd-myd-025-lm-006-3xbr</t>
  </si>
  <si>
    <t>lms-prd-myd-mae34p1082-lm</t>
  </si>
  <si>
    <t>lms-prd-myd-023-lm-005-3uib</t>
  </si>
  <si>
    <t>db-30fl0u-kr1.vpc-cdb.gov-ntruss.com</t>
  </si>
  <si>
    <t>2025-09-21 오전 9:11 (UTC+09:00)</t>
  </si>
  <si>
    <t>37GB</t>
  </si>
  <si>
    <t>lms-prd-myd-023-lm-006-3ujk</t>
  </si>
  <si>
    <t>lms-prd-view-01</t>
  </si>
  <si>
    <t>lms-prd-view-01-004-3x9f</t>
  </si>
  <si>
    <t>lms-prd-sub-prv-myd-view-01</t>
  </si>
  <si>
    <t>db-30csst-kr1.vpc-cdb.gov-ntruss.com</t>
  </si>
  <si>
    <t>2025-10-17 오후 8:07 (UTC+09:00)</t>
  </si>
  <si>
    <t>lms-prd-view-01-003-3x8e</t>
  </si>
  <si>
    <t>2025-10-17 오후 7:28 (UTC+09:00)</t>
  </si>
  <si>
    <t>lms-prd-myd-mah01h3131-lw</t>
  </si>
  <si>
    <t>lms-prd-myd-022-lw-006-3xbv</t>
  </si>
  <si>
    <t>lms-prd-sub-prv-myd-lw-13</t>
  </si>
  <si>
    <t>db-308usp-kr1.vpc-cdb.gov-ntruss.com</t>
  </si>
  <si>
    <t>2025-10-17 오후 10:09 (UTC+09:00)</t>
  </si>
  <si>
    <t>lms-prd-myd-022-lw-005-3xbi</t>
  </si>
  <si>
    <t>lms-prd-myd-mah01j1121-lw</t>
  </si>
  <si>
    <t>lms-prd-myd-021-lw-006-3xbw</t>
  </si>
  <si>
    <t>lms-prd-sub-prv-myd-lw-12</t>
  </si>
  <si>
    <t>db-308us7-kr1.vpc-cdb.gov-ntruss.com</t>
  </si>
  <si>
    <t>lms-prd-myd-021-lw-005-3xbj</t>
  </si>
  <si>
    <t>lms-prd-myd-mae34h1091-lw</t>
  </si>
  <si>
    <t>lms-prd-myd-020-lw-005-3uie</t>
  </si>
  <si>
    <t>db-308urd-kr1.vpc-cdb.gov-ntruss.com</t>
  </si>
  <si>
    <t>15GB</t>
  </si>
  <si>
    <t>lms-prd-myd-020-lw-006-3ujn</t>
  </si>
  <si>
    <t>2025-09-21 오전 9:50 (UTC+09:00)</t>
  </si>
  <si>
    <t>lms-prd-myd-mae34p1081-lw</t>
  </si>
  <si>
    <t>lms-prd-myd-019-lw-005-3uii</t>
  </si>
  <si>
    <t>db-308uq8-kr1.vpc-cdb.gov-ntruss.com</t>
  </si>
  <si>
    <t>2025-09-21 오전 9:13 (UTC+09:00)</t>
  </si>
  <si>
    <t>17GB</t>
  </si>
  <si>
    <t>lms-prd-myd-019-lw-006-3ujr</t>
  </si>
  <si>
    <t>2025-09-21 오전 9:51 (UTC+09:00)</t>
  </si>
  <si>
    <t>lms-prd-myd-enh12j2071-lw</t>
  </si>
  <si>
    <t>lms-prd-myd-018-lw-006-3xc8</t>
  </si>
  <si>
    <t>lms-prd-sub-prv-myd-lw-07</t>
  </si>
  <si>
    <t>db-308upl-kr1.vpc-cdb.gov-ntruss.com</t>
  </si>
  <si>
    <t>2025-10-17 오후 10:55 (UTC+09:00)</t>
  </si>
  <si>
    <t>lms-prd-myd-018-lw-005-3xbz</t>
  </si>
  <si>
    <t>2025-10-17 오후 10:34 (UTC+09:00)</t>
  </si>
  <si>
    <t>lms-prd-myd-enh12k1061-lw</t>
  </si>
  <si>
    <t>lms-prd-myd-017-lw-006-3xc9</t>
  </si>
  <si>
    <t>lms-prd-sub-prv-myd-lw-06</t>
  </si>
  <si>
    <t>db-308up5-kr1.vpc-cdb.gov-ntruss.com</t>
  </si>
  <si>
    <t>lms-prd-myd-017-lw-005-3xc1</t>
  </si>
  <si>
    <t>lms-prd-myd-ene34h2031-lw</t>
  </si>
  <si>
    <t>lms-prd-myd-016-lw-005-42ac</t>
  </si>
  <si>
    <t>lms-prd-sub-prv-myd-lw-03</t>
  </si>
  <si>
    <t>db-308uok-kr1.vpc-cdb.gov-ntruss.com</t>
  </si>
  <si>
    <t>16GB</t>
  </si>
  <si>
    <t>lms-prd-myd-016-lw-006-42ae</t>
  </si>
  <si>
    <t>2025-11-15 오후 11:19 (UTC+09:00)</t>
  </si>
  <si>
    <t>lms-prd-myd-ene34k3021-lw</t>
  </si>
  <si>
    <t>lms-prd-myd-015-lw-005-3uik</t>
  </si>
  <si>
    <t>lms-prd-sub-prv-myd-lw-02</t>
  </si>
  <si>
    <t>db-308uo0-kr1.vpc-cdb.gov-ntruss.com</t>
  </si>
  <si>
    <t>2025-09-21 오전 9:14 (UTC+09:00)</t>
  </si>
  <si>
    <t>11GB</t>
  </si>
  <si>
    <t>7일(02:45)</t>
  </si>
  <si>
    <t>lms-prd-myd-015-lw-006-3ujt</t>
  </si>
  <si>
    <t>lms-prd-myd-ene34l1011-lw</t>
  </si>
  <si>
    <t>lms-prd-myd-014-lw-006-3xcb</t>
  </si>
  <si>
    <t>db-308unj-kr1.vpc-cdb.gov-ntruss.com</t>
  </si>
  <si>
    <t>7일(02:30)</t>
  </si>
  <si>
    <t>lms-prd-myd-014-lw-005-3xc2</t>
  </si>
  <si>
    <t>2025-10-17 오후 10:35 (UTC+09:00)</t>
  </si>
  <si>
    <t>lms-prd-myd-mah01h3131-lm</t>
  </si>
  <si>
    <t>lms-prd-myd-022-lm-005-3uic</t>
  </si>
  <si>
    <t>lms-prd-sub-prv-myd-lm-13</t>
  </si>
  <si>
    <t>db-308un0-kr1.vpc-cdb.gov-ntruss.com</t>
  </si>
  <si>
    <t>lms-prd-myd-022-lm-006-3ujl</t>
  </si>
  <si>
    <t>lms-prd-myd-mah01j1121-lm</t>
  </si>
  <si>
    <t>lms-prd-myd-021-lm-005-3uid</t>
  </si>
  <si>
    <t>lms-prd-sub-prv-myd-lm-12</t>
  </si>
  <si>
    <t>db-308umd-kr1.vpc-cdb.gov-ntruss.com</t>
  </si>
  <si>
    <t>lms-prd-myd-021-lm-006-3ujm</t>
  </si>
  <si>
    <t>lms-prd-myd-mae34h1091-lm</t>
  </si>
  <si>
    <t>lms-prd-myd-020-lm-005-3uif</t>
  </si>
  <si>
    <t>db-308ult-kr1.vpc-cdb.gov-ntruss.com</t>
  </si>
  <si>
    <t>2025-09-21 오전 9:12 (UTC+09:00)</t>
  </si>
  <si>
    <t>65GB</t>
  </si>
  <si>
    <t>lms-prd-myd-020-lm-006-3ujo</t>
  </si>
  <si>
    <t>lms-prd-myd-mae34p1081-lm</t>
  </si>
  <si>
    <t>lms-prd-myd-019-lm-005-3xby</t>
  </si>
  <si>
    <t>db-308ulb-kr1.vpc-cdb.gov-ntruss.com</t>
  </si>
  <si>
    <t>2025-10-17 오후 10:33 (UTC+09:00)</t>
  </si>
  <si>
    <t>89GB</t>
  </si>
  <si>
    <t>lms-prd-myd-019-lm-006-3xcg</t>
  </si>
  <si>
    <t>2025-10-17 오후 11:04 (UTC+09:00)</t>
  </si>
  <si>
    <t>lms-prd-myd-enh12j2071-lm</t>
  </si>
  <si>
    <t>lms-prd-myd-018-lm-006-3xca</t>
  </si>
  <si>
    <t>lms-prd-sub-prv-myd-lm-07</t>
  </si>
  <si>
    <t>db-308ukf-kr1.vpc-cdb.gov-ntruss.com</t>
  </si>
  <si>
    <t>lms-prd-myd-018-lm-005-3xc0</t>
  </si>
  <si>
    <t>lms-prd-myd-enh12k1061-lm</t>
  </si>
  <si>
    <t>lms-prd-myd-017-lm-005-42aa</t>
  </si>
  <si>
    <t>lms-prd-sub-prv-myd-lm-06</t>
  </si>
  <si>
    <t>db-308ujk-kr1.vpc-cdb.gov-ntruss.com</t>
  </si>
  <si>
    <t>2025-11-15 오후 10:57 (UTC+09:00)</t>
  </si>
  <si>
    <t>lms-prd-myd-017-lm-006-42ad</t>
  </si>
  <si>
    <t>2025-11-15 오후 11:18 (UTC+09:00)</t>
  </si>
  <si>
    <t>lms-prd-myd-ene34h2031-lm</t>
  </si>
  <si>
    <t>lms-prd-myd-016-lm-005-3uij</t>
  </si>
  <si>
    <t>lms-prd-sub-prv-myd-lm-03</t>
  </si>
  <si>
    <t>db-308uik-kr1.vpc-cdb.gov-ntruss.com</t>
  </si>
  <si>
    <t>45GB</t>
  </si>
  <si>
    <t>lms-prd-myd-016-lm-006-3ujs</t>
  </si>
  <si>
    <t>lms-prd-myd-ene34k3021-lm</t>
  </si>
  <si>
    <t>lms-prd-myd-015-lm-005-42a8</t>
  </si>
  <si>
    <t>lms-prd-sub-prv-myd-lm-02</t>
  </si>
  <si>
    <t>db-308ugs-kr1.vpc-cdb.gov-ntruss.com</t>
  </si>
  <si>
    <t>2025-11-15 오후 10:56 (UTC+09:00)</t>
  </si>
  <si>
    <t>24GB</t>
  </si>
  <si>
    <t>7일(01:45)</t>
  </si>
  <si>
    <t>lms-prd-myd-015-lm-006-42al</t>
  </si>
  <si>
    <t>2025-11-15 오후 11:37 (UTC+09:00)</t>
  </si>
  <si>
    <t>23GB</t>
  </si>
  <si>
    <t>lms-prd-myd-ene34l1011-lm</t>
  </si>
  <si>
    <t>lms-prd-myd-014-lm-005-3uil</t>
  </si>
  <si>
    <t>db-308ufr-kr1.vpc-cdb.gov-ntruss.com</t>
  </si>
  <si>
    <t>7일(02:15)</t>
  </si>
  <si>
    <t>lms-prd-myd-014-lm-006-3uju</t>
  </si>
  <si>
    <t>2025-09-21 오전 9:52 (UTC+09:00)</t>
  </si>
  <si>
    <t>lms-prd-myd-admin-01</t>
  </si>
  <si>
    <t>lms-prd-myd-01-admin-003-3xbx</t>
  </si>
  <si>
    <t>G2 - [Standard]4vCPU, 16GB Mem</t>
  </si>
  <si>
    <t>lms-prd-sub-prv-myd-admin-01</t>
  </si>
  <si>
    <t>db-307mr9-kr1.vpc-cdb.gov-ntruss.com</t>
  </si>
  <si>
    <t>lms-prd-myd-01-admin-004-3xc7</t>
  </si>
  <si>
    <t>2025-10-17 오후 10:54 (UTC+09:00)</t>
  </si>
  <si>
    <t>lms-dev-myd-admin-01</t>
  </si>
  <si>
    <t>lms-dev-myd-01-admin-002-3wrm</t>
  </si>
  <si>
    <t>lms-dev-sub-prv-myd-admin-01</t>
  </si>
  <si>
    <t>db-302752-kr1.vpc-cdb.gov-ntruss.com</t>
  </si>
  <si>
    <t>2025-10-14 오후 10:27 (UTC+09:00)</t>
  </si>
  <si>
    <t>1일(11:15)</t>
  </si>
  <si>
    <t>lms-prd-etb-01</t>
  </si>
  <si>
    <t>lms-prd-etb-01-003-41l6</t>
  </si>
  <si>
    <t>db-301a63-kr1.vpc-cdb.gov-ntruss.com</t>
  </si>
  <si>
    <t>2025-11-11 오후 6:04 (UTC+09:00)</t>
  </si>
  <si>
    <t>1일(02:00)</t>
  </si>
  <si>
    <t>lms-prd-etb-01-004-41mg</t>
  </si>
  <si>
    <t>2025-11-11 오후 6:33 (UTC+09:00)</t>
  </si>
  <si>
    <t>lms-stg-myd-mae34h109-lm</t>
  </si>
  <si>
    <t>lms-stg-myd-09-lm-004-3uaz</t>
  </si>
  <si>
    <t>lms-stg-sub-prv-myd-lm-09</t>
  </si>
  <si>
    <t>db-300p26-kr1.vpc-cdb.gov-ntruss.com</t>
  </si>
  <si>
    <t>2025-09-20 오후 1:10 (UTC+09:00)</t>
  </si>
  <si>
    <t>3일(02:00)</t>
  </si>
  <si>
    <t>lms-stg-myd-mae34h109-lw</t>
  </si>
  <si>
    <t>lms-stg-myd-09-lw-004-3uay</t>
  </si>
  <si>
    <t>lms-stg-sub-prv-myd-lw-09</t>
  </si>
  <si>
    <t>db-300p0t-kr1.vpc-cdb.gov-ntruss.com</t>
  </si>
  <si>
    <t>lms-stg-myd-ene34k302-lw</t>
  </si>
  <si>
    <t>lms-stg-myd-02-lw-004-45e8</t>
  </si>
  <si>
    <t>lms-stg-sub-prv-myd-lw-02</t>
  </si>
  <si>
    <t>db-300p0g-kr1.vpc-cdb.gov-ntruss.com</t>
  </si>
  <si>
    <t>2025-12-13 오후 6:11 (UTC+09:00)</t>
  </si>
  <si>
    <t>lms-stg-myd-ene34k302-lm</t>
  </si>
  <si>
    <t>lms-stg-myd-02-lm-004-45e9</t>
  </si>
  <si>
    <t>db-300p03-kr1.vpc-cdb.gov-ntruss.com</t>
  </si>
  <si>
    <t>lms-stg-etb-01</t>
  </si>
  <si>
    <t>lms-stg-etb-01-003-3ub1</t>
  </si>
  <si>
    <t>db-300l67-kr1.vpc-cdb.gov-ntruss.com</t>
  </si>
  <si>
    <t>2025-09-20 오후 1:19 (UTC+09:00)</t>
  </si>
  <si>
    <t>7일(07:45)</t>
  </si>
  <si>
    <t>lms-stg-etb-01-004-3ub6</t>
  </si>
  <si>
    <t>lms-dev-etb-01</t>
  </si>
  <si>
    <t>lms-dev-etb-01-003-3u9a</t>
  </si>
  <si>
    <t>lms-dev-sub-prv-myd-etb-01</t>
  </si>
  <si>
    <t>db-2vul6i-kr1.vpc-cdb.gov-ntruss.com</t>
  </si>
  <si>
    <t>2025-09-20 오전 9:48 (UTC+09:00)</t>
  </si>
  <si>
    <t>1일(13:00)</t>
  </si>
  <si>
    <t>lms-dev-etb-01-004-3u9e</t>
  </si>
  <si>
    <t>2025-09-20 오전 10:07 (UTC+09:00)</t>
  </si>
  <si>
    <t>lms-dev-exh-01</t>
  </si>
  <si>
    <t>lms-dev-exh-01-003-3u99</t>
  </si>
  <si>
    <t>lms-dev-sub-prv-myd-exh-01</t>
  </si>
  <si>
    <t>db-2vsibm-kr1.vpc-cdb.gov-ntruss.com</t>
  </si>
  <si>
    <t>2025-09-20 오전 9:46 (UTC+09:00)</t>
  </si>
  <si>
    <t>1일(01:45)</t>
  </si>
  <si>
    <t>lms-dev-exh-01-004-3u9d</t>
  </si>
  <si>
    <t>2025-09-20 오전 10:05 (UTC+09:00)</t>
  </si>
  <si>
    <t>mh-prd-w-myd-01</t>
  </si>
  <si>
    <t>mh-prd-w-myd-01-003-3ldt</t>
  </si>
  <si>
    <t>G2 - [High CPU]4vCPU, 8GB Mem</t>
  </si>
  <si>
    <t>mh-prd-sub-prv-web-db-01</t>
  </si>
  <si>
    <t>db-2vr6av-kr1.vpc-cdb.gov-ntruss.com</t>
  </si>
  <si>
    <t>2025-08-02 오전 11:14 (UTC+09:00)</t>
  </si>
  <si>
    <t>7일(05:30)</t>
  </si>
  <si>
    <t>mh-prd-w-myd-01-004-3le5</t>
  </si>
  <si>
    <t>lms-prd-myd-web-mah01h313-lw</t>
  </si>
  <si>
    <t>lms-prd-myd-w-13-lw-005-3ubi</t>
  </si>
  <si>
    <t>lms-prd-sub-prv-myd-web-lw-13</t>
  </si>
  <si>
    <t>db-2vppje-kr1.vpc-cdb.gov-ntruss.com</t>
  </si>
  <si>
    <t>2025-09-20 오후 7:07 (UTC+09:00)</t>
  </si>
  <si>
    <t>lms-prd-myd-w-13-lw-006-3ubn</t>
  </si>
  <si>
    <t>2025-09-20 오후 7:26 (UTC+09:00)</t>
  </si>
  <si>
    <t>lms-prd-myd-web-mah01h313-lm</t>
  </si>
  <si>
    <t>lms-prd-myd-w-13-lm-005-3ubj</t>
  </si>
  <si>
    <t>lms-prd-sub-prv-myd-web-lm-13</t>
  </si>
  <si>
    <t>db-2vppiv-kr1.vpc-cdb.gov-ntruss.com</t>
  </si>
  <si>
    <t>117GB</t>
  </si>
  <si>
    <t>lms-prd-myd-w-13-lm-006-3ubr</t>
  </si>
  <si>
    <t>2025-09-20 오후 7:42 (UTC+09:00)</t>
  </si>
  <si>
    <t>lms-prd-myd-web-mah01j112-lw</t>
  </si>
  <si>
    <t>lms-prd-myd-w-12-lw-005-3x8f</t>
  </si>
  <si>
    <t>lms-prd-sub-prv-myd-web-lw-12</t>
  </si>
  <si>
    <t>db-2vppih-kr1.vpc-cdb.gov-ntruss.com</t>
  </si>
  <si>
    <t>lms-prd-myd-w-12-lw-006-3x91</t>
  </si>
  <si>
    <t>2025-10-17 오후 8:00 (UTC+09:00)</t>
  </si>
  <si>
    <t>lms-prd-myd-web-mah01j112-lm</t>
  </si>
  <si>
    <t>lms-prd-myd-w-12-lm-005-3ubk</t>
  </si>
  <si>
    <t>lms-prd-sub-prv-myd-web-lm-12</t>
  </si>
  <si>
    <t>db-2vppi4-kr1.vpc-cdb.gov-ntruss.com</t>
  </si>
  <si>
    <t>2025-09-20 오후 7:08 (UTC+09:00)</t>
  </si>
  <si>
    <t>110GB</t>
  </si>
  <si>
    <t>lms-prd-myd-w-12-lm-006-3ubq</t>
  </si>
  <si>
    <t>2025-09-20 오후 7:41 (UTC+09:00)</t>
  </si>
  <si>
    <t>109GB</t>
  </si>
  <si>
    <t>lms-prd-myd-web-mam01k511-lw</t>
  </si>
  <si>
    <t>lms-prd-myd-w-11-lw-006-3x92</t>
  </si>
  <si>
    <t>lms-prd-sub-prv-myd-web-lw-11</t>
  </si>
  <si>
    <t>db-2vpphk-kr1.vpc-cdb.gov-ntruss.com</t>
  </si>
  <si>
    <t>lms-prd-myd-w-11-lw-005-3x8g</t>
  </si>
  <si>
    <t>2025-10-17 오후 7:29 (UTC+09:00)</t>
  </si>
  <si>
    <t>lms-prd-myd-web-mam01k511-lm</t>
  </si>
  <si>
    <t>lms-prd-myd-w-11-lm-005-3x8h</t>
  </si>
  <si>
    <t>lms-prd-sub-prv-myd-web-lm-11</t>
  </si>
  <si>
    <t>db-2vpph7-kr1.vpc-cdb.gov-ntruss.com</t>
  </si>
  <si>
    <t>56GB</t>
  </si>
  <si>
    <t>lms-prd-myd-w-11-lm-006-3x95</t>
  </si>
  <si>
    <t>55GB</t>
  </si>
  <si>
    <t>lms-prd-myd-web-mam01k210-lw</t>
  </si>
  <si>
    <t>lms-prd-myd-w-10-lw-005-3ubl</t>
  </si>
  <si>
    <t>lms-prd-sub-prv-myd-web-lw-10</t>
  </si>
  <si>
    <t>db-2vppd9-kr1.vpc-cdb.gov-ntruss.com</t>
  </si>
  <si>
    <t>lms-prd-myd-w-10-lw-006-3ubp</t>
  </si>
  <si>
    <t>2025-09-20 오후 7:28 (UTC+09:00)</t>
  </si>
  <si>
    <t>lms-prd-myd-web-mam01k210-lm</t>
  </si>
  <si>
    <t>lms-prd-myd-w-10-lm-005-3x8i</t>
  </si>
  <si>
    <t>lms-prd-sub-prv-myd-web-lm-10</t>
  </si>
  <si>
    <t>db-2vppcp-kr1.vpc-cdb.gov-ntruss.com</t>
  </si>
  <si>
    <t>158GB</t>
  </si>
  <si>
    <t>lms-prd-myd-w-10-lm-006-3x9c</t>
  </si>
  <si>
    <t>2025-10-17 오후 8:06 (UTC+09:00)</t>
  </si>
  <si>
    <t>157GB</t>
  </si>
  <si>
    <t>lms-prd-myd-web-ene34h203-lw</t>
  </si>
  <si>
    <t>lms-prd-myd-w-03-lw-005-3ucv</t>
  </si>
  <si>
    <t>lms-prd-sub-prv-myd-web-lw-03</t>
  </si>
  <si>
    <t>db-2vppcb-kr1.vpc-cdb.gov-ntruss.com</t>
  </si>
  <si>
    <t>2025-09-20 오후 8:52 (UTC+09:00)</t>
  </si>
  <si>
    <t>lms-prd-myd-w-03-lw-006-3ud1</t>
  </si>
  <si>
    <t>2025-09-20 오후 9:12 (UTC+09:00)</t>
  </si>
  <si>
    <t>lms-prd-myd-web-ene34l101-lm</t>
  </si>
  <si>
    <t>lms-prd-myd-w-01-lm-005-3x9z</t>
  </si>
  <si>
    <t>lms-prd-sub-prv-myd-web-lm-01</t>
  </si>
  <si>
    <t>db-2vppbr-kr1.vpc-cdb.gov-ntruss.com</t>
  </si>
  <si>
    <t>2025-10-17 오후 8:30 (UTC+09:00)</t>
  </si>
  <si>
    <t>52GB</t>
  </si>
  <si>
    <t>7일(00:45)</t>
  </si>
  <si>
    <t>lms-prd-myd-w-01-lm-006-3xb5</t>
  </si>
  <si>
    <t>2025-10-17 오후 9:13 (UTC+09:00)</t>
  </si>
  <si>
    <t>lms-prd-myd-web-mae34h109-lw</t>
  </si>
  <si>
    <t>lms-prd-myd-w-09-lw-005-3x8j</t>
  </si>
  <si>
    <t>lms-prd-sub-prv-myd-web-lw-09</t>
  </si>
  <si>
    <t>db-2vpp9m-kr1.vpc-cdb.gov-ntruss.com</t>
  </si>
  <si>
    <t>2025-10-17 오후 7:30 (UTC+09:00)</t>
  </si>
  <si>
    <t>lms-prd-myd-w-09-lw-006-3x9d</t>
  </si>
  <si>
    <t>lms-prd-myd-web-mae34h109-lm</t>
  </si>
  <si>
    <t>lms-prd-myd-w-09-lm-005-3ubm</t>
  </si>
  <si>
    <t>lms-prd-sub-prv-myd-web-lm-09</t>
  </si>
  <si>
    <t>db-2vpp99-kr1.vpc-cdb.gov-ntruss.com</t>
  </si>
  <si>
    <t>2025-09-20 오후 7:09 (UTC+09:00)</t>
  </si>
  <si>
    <t>199GB</t>
  </si>
  <si>
    <t>lms-prd-myd-w-09-lm-006-3ubv</t>
  </si>
  <si>
    <t>2025-09-20 오후 7:57 (UTC+09:00)</t>
  </si>
  <si>
    <t>198GB</t>
  </si>
  <si>
    <t>lms-prd-myd-web-mae34p108-lw</t>
  </si>
  <si>
    <t>lms-prd-myd-w-08-lw-006-3uc6</t>
  </si>
  <si>
    <t>lms-prd-sub-prv-myd-web-lw-08</t>
  </si>
  <si>
    <t>db-2vpp8p-kr1.vpc-cdb.gov-ntruss.com</t>
  </si>
  <si>
    <t>2025-09-20 오후 8:07 (UTC+09:00)</t>
  </si>
  <si>
    <t>lms-prd-myd-w-08-lw-005-3ubt</t>
  </si>
  <si>
    <t>2025-09-20 오후 7:48 (UTC+09:00)</t>
  </si>
  <si>
    <t>lms-prd-myd-web-mae34p108-lm</t>
  </si>
  <si>
    <t>lms-prd-myd-w-08-lm-005-3ubu</t>
  </si>
  <si>
    <t>lms-prd-sub-prv-myd-web-lm-08</t>
  </si>
  <si>
    <t>db-2vpp8c-kr1.vpc-cdb.gov-ntruss.com</t>
  </si>
  <si>
    <t>2025-09-20 오후 7:49 (UTC+09:00)</t>
  </si>
  <si>
    <t>210GB</t>
  </si>
  <si>
    <t>lms-prd-myd-w-08-lm-006-3uco</t>
  </si>
  <si>
    <t>2025-09-20 오후 8:42 (UTC+09:00)</t>
  </si>
  <si>
    <t>209GB</t>
  </si>
  <si>
    <t>lms-prd-myd-web-enh12j207-lw</t>
  </si>
  <si>
    <t>lms-prd-myd-w-07-lw-005-3uc2</t>
  </si>
  <si>
    <t>lms-prd-sub-prv-myd-web-lw-07</t>
  </si>
  <si>
    <t>db-2vpp7n-kr1.vpc-cdb.gov-ntruss.com</t>
  </si>
  <si>
    <t>2025-09-20 오후 8:02 (UTC+09:00)</t>
  </si>
  <si>
    <t>lms-prd-myd-w-07-lw-006-3ucc</t>
  </si>
  <si>
    <t>2025-09-20 오후 8:21 (UTC+09:00)</t>
  </si>
  <si>
    <t>lms-prd-myd-web-enh12j207-lm</t>
  </si>
  <si>
    <t>lms-prd-myd-w-07-lm-005-3x9t</t>
  </si>
  <si>
    <t>lms-prd-sub-prv-myd-web-lm-07</t>
  </si>
  <si>
    <t>db-2vpp79-kr1.vpc-cdb.gov-ntruss.com</t>
  </si>
  <si>
    <t>2025-10-17 오후 8:27 (UTC+09:00)</t>
  </si>
  <si>
    <t>187GB</t>
  </si>
  <si>
    <t>lms-prd-myd-w-07-lm-006-3xaz</t>
  </si>
  <si>
    <t>2025-10-17 오후 9:12 (UTC+09:00)</t>
  </si>
  <si>
    <t>186GB</t>
  </si>
  <si>
    <t>lms-prd-myd-web-enh12k106-lw</t>
  </si>
  <si>
    <t>lms-prd-myd-w-06-lw-005-3uc7</t>
  </si>
  <si>
    <t>lms-prd-sub-prv-myd-web-lw-06</t>
  </si>
  <si>
    <t>db-2vpp6p-kr1.vpc-cdb.gov-ntruss.com</t>
  </si>
  <si>
    <t>2025-09-20 오후 8:14 (UTC+09:00)</t>
  </si>
  <si>
    <t>lms-prd-myd-w-06-lw-006-3uck</t>
  </si>
  <si>
    <t>2025-09-20 오후 8:35 (UTC+09:00)</t>
  </si>
  <si>
    <t>lms-prd-myd-web-enh12k106-lm</t>
  </si>
  <si>
    <t>lms-prd-myd-w-06-lm-006-3xb0</t>
  </si>
  <si>
    <t>lms-prd-sub-prv-myd-web-lm-06</t>
  </si>
  <si>
    <t>db-2vpp3k-kr1.vpc-cdb.gov-ntruss.com</t>
  </si>
  <si>
    <t>47GB</t>
  </si>
  <si>
    <t>lms-prd-myd-w-06-lm-005-3x9u</t>
  </si>
  <si>
    <t>lms-prd-myd-web-enm01s105-lw</t>
  </si>
  <si>
    <t>lms-prd-myd-w-05-lw-005-3x9v</t>
  </si>
  <si>
    <t>lms-prd-sub-prv-myd-web-lw-05</t>
  </si>
  <si>
    <t>db-2vpp2p-kr1.vpc-cdb.gov-ntruss.com</t>
  </si>
  <si>
    <t>2025-10-17 오후 8:28 (UTC+09:00)</t>
  </si>
  <si>
    <t>lms-prd-myd-w-05-lw-006-3xb1</t>
  </si>
  <si>
    <t>lms-prd-myd-web-enm01s105-lm</t>
  </si>
  <si>
    <t>lms-prd-myd-w-05-lm-005-3uc9</t>
  </si>
  <si>
    <t>lms-prd-sub-prv-myd-web-lm-05</t>
  </si>
  <si>
    <t>db-2vpp29-kr1.vpc-cdb.gov-ntruss.com</t>
  </si>
  <si>
    <t>2025-09-20 오후 8:20 (UTC+09:00)</t>
  </si>
  <si>
    <t>lms-prd-myd-w-05-lm-006-3uct</t>
  </si>
  <si>
    <t>2025-09-20 오후 8:47 (UTC+09:00)</t>
  </si>
  <si>
    <t>39GB</t>
  </si>
  <si>
    <t>lms-prd-myd-web-enm01l204-lw</t>
  </si>
  <si>
    <t>lms-prd-myd-w-04-lw-005-3x9w</t>
  </si>
  <si>
    <t>lms-prd-sub-prv-myd-web-lw-04</t>
  </si>
  <si>
    <t>db-2vpp0k-kr1.vpc-cdb.gov-ntruss.com</t>
  </si>
  <si>
    <t>lms-prd-myd-w-04-lw-006-3xb2</t>
  </si>
  <si>
    <t>lms-prd-myd-web-enm01l204-lm</t>
  </si>
  <si>
    <t>lms-prd-myd-w-04-lm-005-3uca</t>
  </si>
  <si>
    <t>lms-prd-sub-prv-myd-web-lm-04</t>
  </si>
  <si>
    <t>db-2vpovi-kr1.vpc-cdb.gov-ntruss.com</t>
  </si>
  <si>
    <t>36GB</t>
  </si>
  <si>
    <t>lms-prd-myd-w-04-lm-006-3ucu</t>
  </si>
  <si>
    <t>35GB</t>
  </si>
  <si>
    <t>lms-prd-myd-web-ene34h203-lm</t>
  </si>
  <si>
    <t>lms-prd-myd-w-03-lm-005-3ucr</t>
  </si>
  <si>
    <t>lms-prd-sub-prv-myd-web-lm-03</t>
  </si>
  <si>
    <t>db-2vpotu-kr1.vpc-cdb.gov-ntruss.com</t>
  </si>
  <si>
    <t>2025-09-20 오후 8:46 (UTC+09:00)</t>
  </si>
  <si>
    <t>lms-prd-myd-w-03-lm-006-3ud0</t>
  </si>
  <si>
    <t>lms-prd-myd-web-ene34k302-lw</t>
  </si>
  <si>
    <t>lms-prd-myd-w-02-lw-005-3x9x</t>
  </si>
  <si>
    <t>lms-prd-sub-prv-myd-web-lw-02</t>
  </si>
  <si>
    <t>db-2vpote-kr1.vpc-cdb.gov-ntruss.com</t>
  </si>
  <si>
    <t>2025-10-17 오후 8:29 (UTC+09:00)</t>
  </si>
  <si>
    <t>7일(12:45)</t>
  </si>
  <si>
    <t>lms-prd-myd-w-02-lw-006-3xb4</t>
  </si>
  <si>
    <t>lms-prd-myd-web-ene34k302-lm</t>
  </si>
  <si>
    <t>lms-prd-myd-w-02-lm-005-42af</t>
  </si>
  <si>
    <t>lms-prd-sub-prv-myd-web-lm-02</t>
  </si>
  <si>
    <t>db-2vposh-kr1.vpc-cdb.gov-ntruss.com</t>
  </si>
  <si>
    <t>2025-11-15 오후 11:20 (UTC+09:00)</t>
  </si>
  <si>
    <t>46GB</t>
  </si>
  <si>
    <t>7일(12:30)</t>
  </si>
  <si>
    <t>lms-prd-myd-w-02-lm-006-42b8</t>
  </si>
  <si>
    <t>2025-11-16 오전 0:06 (UTC+09:00)</t>
  </si>
  <si>
    <t>lms-prd-myd-web-ene34l101-lw</t>
  </si>
  <si>
    <t>lms-prd-myd-w-01-lw-005-3x9y</t>
  </si>
  <si>
    <t>lms-prd-sub-prv-myd-web-lw-01</t>
  </si>
  <si>
    <t>db-2vporu-kr1.vpc-cdb.gov-ntruss.com</t>
  </si>
  <si>
    <t>7일(13:00)</t>
  </si>
  <si>
    <t>lms-prd-myd-w-01-lw-006-3xb3</t>
  </si>
  <si>
    <t>lms-prd-exh-01</t>
  </si>
  <si>
    <t>lms-prd-exh-01-003-3xc4</t>
  </si>
  <si>
    <t>lms-prd-sub-prv-myd-exh-01</t>
  </si>
  <si>
    <t>db-2vp8du-kr1.vpc-cdb.gov-ntruss.com</t>
  </si>
  <si>
    <t>1일(10:45)</t>
  </si>
  <si>
    <t>lms-prd-exh-01-004-3xcd</t>
  </si>
  <si>
    <t>lms-stg-view-01</t>
  </si>
  <si>
    <t>lms-stg-view-01-003-3x8w</t>
  </si>
  <si>
    <t>lms-stg-sub-prv-view-01</t>
  </si>
  <si>
    <t>db-2vk2o0-kr1.vpc-cdb.gov-ntruss.com</t>
  </si>
  <si>
    <t>2025-10-17 오후 7:46 (UTC+09:00)</t>
  </si>
  <si>
    <t>lms-stg-view-01-004-3x9e</t>
  </si>
  <si>
    <t>stt-stg-myd-01</t>
  </si>
  <si>
    <t>stt-stg-myd-003-3wql</t>
  </si>
  <si>
    <t>stt-stg-vpc-01</t>
  </si>
  <si>
    <t>stt-stg-sub-prv-myd-01</t>
  </si>
  <si>
    <t>db-39lsc-kr1.vpc-cdb.gov-ntruss.com</t>
  </si>
  <si>
    <t>2025-10-14 오후 7:13 (UTC+09:00)</t>
  </si>
  <si>
    <t>MYSQL8.0.34</t>
  </si>
  <si>
    <t>stt-stg-myd-004-3wqp</t>
  </si>
  <si>
    <t>2025-10-14 오후 7:41 (UTC+09:00)</t>
  </si>
  <si>
    <t>ai-stg-myd</t>
  </si>
  <si>
    <t>ai-stg-myd-01-003-3ldn</t>
  </si>
  <si>
    <t>ai-stg-sub-prv-myd-01</t>
  </si>
  <si>
    <t>db-39kk5-kr1.vpc-cdb.gov-ntruss.com</t>
  </si>
  <si>
    <t>2025-08-02 오전 10:51 (UTC+09:00)</t>
  </si>
  <si>
    <t>ai-stg-myd-01-004-3ldz</t>
  </si>
  <si>
    <t>2025-08-02 오전 11:19 (UTC+09:00)</t>
  </si>
  <si>
    <t>lms-stg-csb-01</t>
  </si>
  <si>
    <t>lms-stg-csb-01-005-3wr7</t>
  </si>
  <si>
    <t>db-39f7m-kr1.vpc-cdb.gov-ntruss.com</t>
  </si>
  <si>
    <t>2025-10-14 오후 9:15 (UTC+09:00)</t>
  </si>
  <si>
    <t>lms-stg-csb-01-006-3wr9</t>
  </si>
  <si>
    <t>2025-10-14 오후 9:34 (UTC+09:00)</t>
  </si>
  <si>
    <t>lcms-stg-myd-01</t>
  </si>
  <si>
    <t>lcms-stg-myd-005-429y</t>
  </si>
  <si>
    <t>lcms-stg-sub-prv-db-01</t>
  </si>
  <si>
    <t>db-39et5-kr1.vpc-cdb.gov-ntruss.com</t>
  </si>
  <si>
    <t>2025-11-15 오후 10:06 (UTC+09:00)</t>
  </si>
  <si>
    <t>lcms-stg-myd-006-42a6</t>
  </si>
  <si>
    <t>2025-11-15 오후 10:45 (UTC+09:00)</t>
  </si>
  <si>
    <t>lms-stg-myd-mah01h313-lm</t>
  </si>
  <si>
    <t>lms-stg-myd-13-lm-005-3wqu</t>
  </si>
  <si>
    <t>lms-stg-sub-prv-myd-lm-13</t>
  </si>
  <si>
    <t>db-3897c-kr1.vpc-cdb.gov-ntruss.com</t>
  </si>
  <si>
    <t>2025-10-14 오후 8:02 (UTC+09:00)</t>
  </si>
  <si>
    <t>lms-stg-myd-mah01h313-lw</t>
  </si>
  <si>
    <t>lms-stg-myd-13-lw-005-45ea</t>
  </si>
  <si>
    <t>lms-stg-sub-prv-myd-lw-13</t>
  </si>
  <si>
    <t>db-3896v-kr1.vpc-cdb.gov-ntruss.com</t>
  </si>
  <si>
    <t>lms-stg-myd-mam01k210-lm</t>
  </si>
  <si>
    <t>lms-stg-myd-10-lm-004-3wqv</t>
  </si>
  <si>
    <t>lms-stg-sub-prv-myd-lm-10</t>
  </si>
  <si>
    <t>db-388jk-kr1.vpc-cdb.gov-ntruss.com</t>
  </si>
  <si>
    <t>lms-stg-myd-mah01j112-lm</t>
  </si>
  <si>
    <t>lms-stg-myd-12-lm-004-45eb</t>
  </si>
  <si>
    <t>lms-stg-sub-prv-myd-lm-12</t>
  </si>
  <si>
    <t>db-388gk-kr1.vpc-cdb.gov-ntruss.com</t>
  </si>
  <si>
    <t>2025-12-13 오후 6:12 (UTC+09:00)</t>
  </si>
  <si>
    <t>lms-stg-myd-mah01j112-lw</t>
  </si>
  <si>
    <t>lms-stg-myd-12-lw-005-45ec</t>
  </si>
  <si>
    <t>lms-stg-sub-prv-myd-lw-12</t>
  </si>
  <si>
    <t>db-388g0-kr1.vpc-cdb.gov-ntruss.com</t>
  </si>
  <si>
    <t>lms-stg-myd-mam01k511-lm</t>
  </si>
  <si>
    <t>lms-stg-myd-11-lm-004-45ed</t>
  </si>
  <si>
    <t>lms-stg-sub-prv-myd-lm-11</t>
  </si>
  <si>
    <t>db-388di-kr1.vpc-cdb.gov-ntruss.com</t>
  </si>
  <si>
    <t>lms-stg-myd-mam01k511-lw</t>
  </si>
  <si>
    <t>lms-stg-myd-11-lw-005-3uao</t>
  </si>
  <si>
    <t>lms-stg-sub-prv-myd-lw-11</t>
  </si>
  <si>
    <t>db-388d4-kr1.vpc-cdb.gov-ntruss.com</t>
  </si>
  <si>
    <t>2025-09-20 오후 12:42 (UTC+09:00)</t>
  </si>
  <si>
    <t>lms-stg-myd-mam01k210-lw</t>
  </si>
  <si>
    <t>lms-stg-myd-10-lw-006-3uap</t>
  </si>
  <si>
    <t>lms-stg-sub-prv-myd-lw-10</t>
  </si>
  <si>
    <t>db-388c1-kr1.vpc-cdb.gov-ntruss.com</t>
  </si>
  <si>
    <t>2025-09-20 오후 12:43 (UTC+09:00)</t>
  </si>
  <si>
    <t>lms-stg-myd-mae34p108-lm</t>
  </si>
  <si>
    <t>lms-stg-myd-08-lm-005-45ee</t>
  </si>
  <si>
    <t>lms-stg-sub-prv-myd-lm-08</t>
  </si>
  <si>
    <t>db-388b6-kr1.vpc-cdb.gov-ntruss.com</t>
  </si>
  <si>
    <t>2025-12-13 오후 6:13 (UTC+09:00)</t>
  </si>
  <si>
    <t>lms-stg-myd-mae34p108-lw</t>
  </si>
  <si>
    <t>lms-stg-myd-08-lw-004-45ef</t>
  </si>
  <si>
    <t>lms-stg-sub-prv-myd-lw-08</t>
  </si>
  <si>
    <t>db-388am-kr1.vpc-cdb.gov-ntruss.com</t>
  </si>
  <si>
    <t>lms-stg-myd-enh12j207-lm</t>
  </si>
  <si>
    <t>lms-stg-myd-07-lm-005-3wqx</t>
  </si>
  <si>
    <t>lms-stg-sub-prv-myd-lm-07</t>
  </si>
  <si>
    <t>db-3889m-kr1.vpc-cdb.gov-ntruss.com</t>
  </si>
  <si>
    <t>2025-10-14 오후 8:15 (UTC+09:00)</t>
  </si>
  <si>
    <t>lms-stg-myd-enh12j207-lw</t>
  </si>
  <si>
    <t>lms-stg-myd-07-lw-004-3wqw</t>
  </si>
  <si>
    <t>lms-stg-sub-prv-myd-lw-07</t>
  </si>
  <si>
    <t>db-3888v-kr1.vpc-cdb.gov-ntruss.com</t>
  </si>
  <si>
    <t>lms-stg-myd-enh12k106-lm</t>
  </si>
  <si>
    <t>lms-stg-myd-06-lm-005-3wr0</t>
  </si>
  <si>
    <t>lms-stg-sub-prv-myd-lm-06</t>
  </si>
  <si>
    <t>db-38889-kr1.vpc-cdb.gov-ntruss.com</t>
  </si>
  <si>
    <t>2025-10-14 오후 8:44 (UTC+09:00)</t>
  </si>
  <si>
    <t>lms-stg-myd-enh12k106-lw</t>
  </si>
  <si>
    <t>lms-stg-myd-06-lw-004-3uas</t>
  </si>
  <si>
    <t>lms-stg-sub-prv-myd-lw-06</t>
  </si>
  <si>
    <t>db-3887r-kr1.vpc-cdb.gov-ntruss.com</t>
  </si>
  <si>
    <t>2025-09-20 오후 12:58 (UTC+09:00)</t>
  </si>
  <si>
    <t>lms-stg-myd-enm01s105-lm</t>
  </si>
  <si>
    <t>lms-stg-myd-05-lm-004-3uat</t>
  </si>
  <si>
    <t>lms-stg-sub-prv-myd-lm-05</t>
  </si>
  <si>
    <t>db-3882l-kr1.vpc-cdb.gov-ntruss.com</t>
  </si>
  <si>
    <t>2025-09-20 오후 12:59 (UTC+09:00)</t>
  </si>
  <si>
    <t>lms-stg-myd-enm01l204-lm</t>
  </si>
  <si>
    <t>lms-stg-myd-04-lm-004-3uau</t>
  </si>
  <si>
    <t>lms-stg-sub-prv-myd-lm-04</t>
  </si>
  <si>
    <t>db-38822-kr1.vpc-cdb.gov-ntruss.com</t>
  </si>
  <si>
    <t>lms-stg-myd-enm01s105-lw</t>
  </si>
  <si>
    <t>lms-stg-myd-05-lw-005-3wr1</t>
  </si>
  <si>
    <t>lms-stg-sub-prv-myd-lw-05</t>
  </si>
  <si>
    <t>db-3881h-kr1.vpc-cdb.gov-ntruss.com</t>
  </si>
  <si>
    <t>lms-stg-myd-enm01l204-lw</t>
  </si>
  <si>
    <t>lms-stg-myd-04-lw-004-3wr2</t>
  </si>
  <si>
    <t>lms-stg-sub-prv-myd-lw-04</t>
  </si>
  <si>
    <t>db-387va-kr1.vpc-cdb.gov-ntruss.com</t>
  </si>
  <si>
    <t>2025-10-14 오후 8:45 (UTC+09:00)</t>
  </si>
  <si>
    <t>lms-stg-myd-ene34h203-lm</t>
  </si>
  <si>
    <t>lms-stg-myd-03-lm-004-3wr3</t>
  </si>
  <si>
    <t>lms-stg-sub-prv-myd-lm-03</t>
  </si>
  <si>
    <t>db-387sh-kr1.vpc-cdb.gov-ntruss.com</t>
  </si>
  <si>
    <t>lms-stg-myd-ene34h203-lw</t>
  </si>
  <si>
    <t>lms-stg-myd-03-lw-004-3uav</t>
  </si>
  <si>
    <t>lms-stg-sub-prv-myd-lw-03</t>
  </si>
  <si>
    <t>db-387s4-kr1.vpc-cdb.gov-ntruss.com</t>
  </si>
  <si>
    <t>2025-09-20 오후 1:00 (UTC+09:00)</t>
  </si>
  <si>
    <t>lms-stg-myd-ene34l101-lm</t>
  </si>
  <si>
    <t>lms-stg-myd-01-lm-005-3uax</t>
  </si>
  <si>
    <t>db-387rg-kr1.vpc-cdb.gov-ntruss.com</t>
  </si>
  <si>
    <t>lms-stg-myd-ene34l101-lw</t>
  </si>
  <si>
    <t>lms-stg-myd-01-lw-004-3uaw</t>
  </si>
  <si>
    <t>lms-stg-sub-prv-myd-lw-01</t>
  </si>
  <si>
    <t>db-387qk-kr1.vpc-cdb.gov-ntruss.com</t>
  </si>
  <si>
    <t>lms-dev-myd-lm-02</t>
  </si>
  <si>
    <t>lms-dev-myd-02-lm-005-429z</t>
  </si>
  <si>
    <t>lms-dev-sub-prv-myd-lm-02</t>
  </si>
  <si>
    <t>db-358dt-kr1.vpc-cdb.gov-ntruss.com</t>
  </si>
  <si>
    <t>2025-11-15 오후 10:08 (UTC+09:00)</t>
  </si>
  <si>
    <t>lms-dev-myd-02-lm-006-42a7</t>
  </si>
  <si>
    <t>2025-11-15 오후 10:46 (UTC+09:00)</t>
  </si>
  <si>
    <t>lms-dev-myd-lw-02</t>
  </si>
  <si>
    <t>lms-dev-myd-02-lw-005-3wrh</t>
  </si>
  <si>
    <t>lms-dev-sub-prv-myd-lw-02</t>
  </si>
  <si>
    <t>db-358dg-kr1.vpc-cdb.gov-ntruss.com</t>
  </si>
  <si>
    <t>2025-10-14 오후 10:15 (UTC+09:00)</t>
  </si>
  <si>
    <t>lms-dev-myd-02-lw-006-3wrp</t>
  </si>
  <si>
    <t>2025-10-14 오후 10:35 (UTC+09:00)</t>
  </si>
  <si>
    <t>mh-stg-myd-01</t>
  </si>
  <si>
    <t>mh-stg-myd-01-005-3wqn</t>
  </si>
  <si>
    <t>mh-stg-sub-prv-db-01</t>
  </si>
  <si>
    <t>db-34ukv-kr1.vpc-cdb.gov-ntruss.com</t>
  </si>
  <si>
    <t>2025-10-14 오후 7:14 (UTC+09:00)</t>
  </si>
  <si>
    <t>7일(00:30)</t>
  </si>
  <si>
    <t>mh-stg-myd-01-006-3wqq</t>
  </si>
  <si>
    <t>2025-10-14 오후 7:42 (UTC+09:00)</t>
  </si>
  <si>
    <t>mh-dev-myd-07</t>
  </si>
  <si>
    <t>mh-dev-myd-07-005-3ual</t>
  </si>
  <si>
    <t>mh-dev-sub-prv-db-07</t>
  </si>
  <si>
    <t>db-30u5e-kr1.vpc-cdb.gov-ntruss.com</t>
  </si>
  <si>
    <t>2025-09-20 오후 12:36 (UTC+09:00)</t>
  </si>
  <si>
    <t>mh-dev-myd-06</t>
  </si>
  <si>
    <t>mh-dev-myd-06-005-44zx</t>
  </si>
  <si>
    <t>mh-dev-sub-prv-db-06</t>
  </si>
  <si>
    <t>db-30u51-kr1.vpc-cdb.gov-ntruss.com</t>
  </si>
  <si>
    <t>2025-12-09 오후 4:08 (UTC+09:00)</t>
  </si>
  <si>
    <t>mh-dev-myd-05</t>
  </si>
  <si>
    <t>mh-dev-myd-05-005-3uam</t>
  </si>
  <si>
    <t>mh-dev-sub-prv-db-05</t>
  </si>
  <si>
    <t>db-30u4h-kr1.vpc-cdb.gov-ntruss.com</t>
  </si>
  <si>
    <t>2025-09-20 오후 12:38 (UTC+09:00)</t>
  </si>
  <si>
    <t>mh-dev-myd-04</t>
  </si>
  <si>
    <t>mh-dev-myd-04-005-44zw</t>
  </si>
  <si>
    <t>mh-dev-sub-prv-db-04</t>
  </si>
  <si>
    <t>db-30u42-kr1.vpc-cdb.gov-ntruss.com</t>
  </si>
  <si>
    <t>lms-prd-inf-01</t>
  </si>
  <si>
    <t>lms-prd-inf-01-005-3xc3</t>
  </si>
  <si>
    <t>lms-prd-sub-prv-mod-inf-01</t>
  </si>
  <si>
    <t>db-30k52-kr1.vpc-cdb.gov-ntruss.com</t>
  </si>
  <si>
    <t>lms-prd-inf-01-006-3xcc</t>
  </si>
  <si>
    <t>lcms-dev-myd-002</t>
  </si>
  <si>
    <t>lcms-dev-myd-02-005-3ub3</t>
  </si>
  <si>
    <t>lcms-dev-sub-prv-db-01</t>
  </si>
  <si>
    <t>db-2vdoj-kr1.vpc-cdb.gov-ntruss.com</t>
  </si>
  <si>
    <t>2025-09-20 오후 1:28 (UTC+09:00)</t>
  </si>
  <si>
    <t>mh-prd-myd-01</t>
  </si>
  <si>
    <t>mh-prd-myd-005-3x8b</t>
  </si>
  <si>
    <t>G2 - [High CPU]16vCPU, 32GB Mem</t>
  </si>
  <si>
    <t>mh-prd-sub-prv-db-01</t>
  </si>
  <si>
    <t>db-2uq6j-kr1.vpc-cdb.gov-ntruss.com</t>
  </si>
  <si>
    <t>2025-10-17 오후 7:20 (UTC+09:00)</t>
  </si>
  <si>
    <t>mh-prd-myd-006-3x8k</t>
  </si>
  <si>
    <t>2025-10-17 오후 7:39 (UTC+09:00)</t>
  </si>
  <si>
    <t>lms-dev-csb-01</t>
  </si>
  <si>
    <t>lms-dev-csb-01-005-41jh</t>
  </si>
  <si>
    <t>lms-dev-sub-prv-csb-01</t>
  </si>
  <si>
    <t>db-2svj6-kr1.vpc-cdb.gov-ntruss.com</t>
  </si>
  <si>
    <t>2025-11-11 오후 1:29 (UTC+09:00)</t>
  </si>
  <si>
    <t>lms-dev-csb-01-006-41jn</t>
  </si>
  <si>
    <t>2025-11-11 오후 2:00 (UTC+09:00)</t>
  </si>
  <si>
    <t>mh-dev-myd-03</t>
  </si>
  <si>
    <t>mh-dev-myd-03-004-3ldl</t>
  </si>
  <si>
    <t>mh-dev-sub-prv-db-03</t>
  </si>
  <si>
    <t>db-2r47u-kr1.vpc-cdb.gov-ntruss.com</t>
  </si>
  <si>
    <t>2025-08-02 오전 10:49 (UTC+09:00)</t>
  </si>
  <si>
    <t>7일(03:30)</t>
  </si>
  <si>
    <t>mh-dev-myd-02</t>
  </si>
  <si>
    <t>mh-dev-myd-02-005-44zv</t>
  </si>
  <si>
    <t>mh-dev-sub-prv-db-02</t>
  </si>
  <si>
    <t>db-2r47l-kr1.vpc-cdb.gov-ntruss.com</t>
  </si>
  <si>
    <t>lms-prd-csb-01</t>
  </si>
  <si>
    <t>lms-prd-csb-01-005-3xc6</t>
  </si>
  <si>
    <t>db-2pimf-kr1.vpc-cdb.gov-ntruss.com</t>
  </si>
  <si>
    <t>lms-prd-csb-01-006-3xcf</t>
  </si>
  <si>
    <t>lms-prd-myd-ene34k302-lm</t>
  </si>
  <si>
    <t>lms-prd-myd-02-lm-005-3ugo</t>
  </si>
  <si>
    <t>db-2o1ai-kr1.vpc-cdb.gov-ntruss.com</t>
  </si>
  <si>
    <t>2025-09-20 오후 11:23 (UTC+09:00)</t>
  </si>
  <si>
    <t>lms-prd-myd-02-lm-006-3ugs</t>
  </si>
  <si>
    <t>2025-09-20 오후 11:47 (UTC+09:00)</t>
  </si>
  <si>
    <t>25GB</t>
  </si>
  <si>
    <t>lms-prd-myd-ene34k302-lw</t>
  </si>
  <si>
    <t>lms-prd-myd-02-lw-005-3xbd</t>
  </si>
  <si>
    <t>db-2o1a4-kr1.vpc-cdb.gov-ntruss.com</t>
  </si>
  <si>
    <t>lms-prd-myd-02-lw-006-3xbq</t>
  </si>
  <si>
    <t>lms-prd-myd-mah01h313-lm</t>
  </si>
  <si>
    <t>lms-prd-myd-13-lm-005-3ucx</t>
  </si>
  <si>
    <t>db-2nn6o-kr1.vpc-cdb.gov-ntruss.com</t>
  </si>
  <si>
    <t>2025-09-20 오후 8:53 (UTC+09:00)</t>
  </si>
  <si>
    <t>lms-prd-myd-13-lm-006-3ud2</t>
  </si>
  <si>
    <t>2025-09-20 오후 9:15 (UTC+09:00)</t>
  </si>
  <si>
    <t>lms-prd-myd-mah01h313-lw</t>
  </si>
  <si>
    <t>lms-prd-myd-13-lw-005-3xb6</t>
  </si>
  <si>
    <t>db-2nn6b-kr1.vpc-cdb.gov-ntruss.com</t>
  </si>
  <si>
    <t>2025-10-17 오후 9:40 (UTC+09:00)</t>
  </si>
  <si>
    <t>lms-prd-myd-13-lw-006-3xfc</t>
  </si>
  <si>
    <t>2025-10-18 오후 7:42 (UTC+09:00)</t>
  </si>
  <si>
    <t>lms-prd-myd-mah01j112-lm</t>
  </si>
  <si>
    <t>lms-prd-myd-12-lm-005-3ufn</t>
  </si>
  <si>
    <t>db-2nn5k-kr1.vpc-cdb.gov-ntruss.com</t>
  </si>
  <si>
    <t>2025-09-20 오후 9:33 (UTC+09:00)</t>
  </si>
  <si>
    <t>lms-prd-myd-12-lm-006-3ufx</t>
  </si>
  <si>
    <t>2025-09-20 오후 10:11 (UTC+09:00)</t>
  </si>
  <si>
    <t>lms-prd-myd-mah01j112-lw</t>
  </si>
  <si>
    <t>lms-prd-myd-12-lw-005-3ufm</t>
  </si>
  <si>
    <t>db-2nn57-kr1.vpc-cdb.gov-ntruss.com</t>
  </si>
  <si>
    <t>2025-09-20 오후 9:32 (UTC+09:00)</t>
  </si>
  <si>
    <t>lms-prd-myd-12-lw-006-3ufs</t>
  </si>
  <si>
    <t>2025-09-20 오후 9:51 (UTC+09:00)</t>
  </si>
  <si>
    <t>lms-prd-myd-mam01k511-lm</t>
  </si>
  <si>
    <t>lms-prd-myd-11-lm-005-3xb7</t>
  </si>
  <si>
    <t>lms-prd-sub-prv-myd-lm-11</t>
  </si>
  <si>
    <t>db-2nn4q-kr1.vpc-cdb.gov-ntruss.com</t>
  </si>
  <si>
    <t>2025-10-17 오후 9:41 (UTC+09:00)</t>
  </si>
  <si>
    <t>53GB</t>
  </si>
  <si>
    <t>lms-prd-myd-11-lm-006-3xbl</t>
  </si>
  <si>
    <t>2025-10-17 오후 10:06 (UTC+09:00)</t>
  </si>
  <si>
    <t>lms-prd-myd-mam01k511-lw</t>
  </si>
  <si>
    <t>lms-prd-myd-11-lw-005-453n</t>
  </si>
  <si>
    <t>lms-prd-sub-prv-myd-lw-11</t>
  </si>
  <si>
    <t>db-2nn4a-kr1.vpc-cdb.gov-ntruss.com</t>
  </si>
  <si>
    <t>2025-12-10 오후 5:02 (UTC+09:00)</t>
  </si>
  <si>
    <t>lms-prd-myd-11-lw-006-453r</t>
  </si>
  <si>
    <t>2025-12-10 오후 5:22 (UTC+09:00)</t>
  </si>
  <si>
    <t>lms-prd-myd-mam01k210-lm</t>
  </si>
  <si>
    <t>lms-prd-myd-10-lm-005-3ufo</t>
  </si>
  <si>
    <t>lms-prd-sub-prv-myd-lm-10</t>
  </si>
  <si>
    <t>db-2nn3k-kr1.vpc-cdb.gov-ntruss.com</t>
  </si>
  <si>
    <t>61GB</t>
  </si>
  <si>
    <t>lms-prd-myd-10-lm-006-3ufy</t>
  </si>
  <si>
    <t>2025-09-20 오후 10:12 (UTC+09:00)</t>
  </si>
  <si>
    <t>lms-prd-myd-mam01k210-lw</t>
  </si>
  <si>
    <t>lms-prd-myd-10-lw-005-3xb8</t>
  </si>
  <si>
    <t>lms-prd-sub-prv-myd-lw-10</t>
  </si>
  <si>
    <t>db-2nn37-kr1.vpc-cdb.gov-ntruss.com</t>
  </si>
  <si>
    <t>lms-prd-myd-10-lw-006-3xbk</t>
  </si>
  <si>
    <t>lms-prd-myd-mae34h109-lm</t>
  </si>
  <si>
    <t>lms-prd-myd-09-lm-005-3ufu</t>
  </si>
  <si>
    <t>db-2nn2b-kr1.vpc-cdb.gov-ntruss.com</t>
  </si>
  <si>
    <t>2025-09-20 오후 10:10 (UTC+09:00)</t>
  </si>
  <si>
    <t>59GB</t>
  </si>
  <si>
    <t>lms-prd-myd-09-lm-006-3uh6</t>
  </si>
  <si>
    <t>2025-09-21 오전 4:20 (UTC+09:00)</t>
  </si>
  <si>
    <t>lms-prd-myd-mae34h109-lw</t>
  </si>
  <si>
    <t>lms-prd-myd-09-lw-005-3ufr</t>
  </si>
  <si>
    <t>db-2nn1s-kr1.vpc-cdb.gov-ntruss.com</t>
  </si>
  <si>
    <t>2025-09-20 오후 9:49 (UTC+09:00)</t>
  </si>
  <si>
    <t>lms-prd-myd-09-lw-006-3ufz</t>
  </si>
  <si>
    <t>lms-prd-myd-mae34p108-lm</t>
  </si>
  <si>
    <t>lms-prd-myd-08-lm-005-3ufv</t>
  </si>
  <si>
    <t>db-2nn1e-kr1.vpc-cdb.gov-ntruss.com</t>
  </si>
  <si>
    <t>84GB</t>
  </si>
  <si>
    <t>lms-prd-myd-08-lm-006-3ug6</t>
  </si>
  <si>
    <t>2025-09-20 오후 10:43 (UTC+09:00)</t>
  </si>
  <si>
    <t>lms-prd-myd-mae34p108-lw</t>
  </si>
  <si>
    <t>lms-prd-myd-08-lw-005-3xb9</t>
  </si>
  <si>
    <t>db-2nn0r-kr1.vpc-cdb.gov-ntruss.com</t>
  </si>
  <si>
    <t>lms-prd-myd-08-lw-006-3xbn</t>
  </si>
  <si>
    <t>lms-prd-myd-enh12j207-lm</t>
  </si>
  <si>
    <t>lms-prd-myd-07-lm-005-3ufw</t>
  </si>
  <si>
    <t>db-2nn03-kr1.vpc-cdb.gov-ntruss.com</t>
  </si>
  <si>
    <t>lms-prd-myd-07-lm-006-3ug0</t>
  </si>
  <si>
    <t>2025-09-20 오후 10:36 (UTC+09:00)</t>
  </si>
  <si>
    <t>lms-prd-myd-enh12j207-lw</t>
  </si>
  <si>
    <t>lms-prd-myd-07-lw-006-3xbm</t>
  </si>
  <si>
    <t>db-2nmvf-kr1.vpc-cdb.gov-ntruss.com</t>
  </si>
  <si>
    <t>lms-prd-myd-07-lw-005-3xba</t>
  </si>
  <si>
    <t>2025-10-17 오후 9:42 (UTC+09:00)</t>
  </si>
  <si>
    <t>lms-prd-myd-enh12k106-lm</t>
  </si>
  <si>
    <t>lms-prd-myd-06-lm-005-3ug2</t>
  </si>
  <si>
    <t>db-2nmv1-kr1.vpc-cdb.gov-ntruss.com</t>
  </si>
  <si>
    <t>2025-09-20 오후 10:40 (UTC+09:00)</t>
  </si>
  <si>
    <t>lms-prd-myd-06-lm-006-3ugg</t>
  </si>
  <si>
    <t>2025-09-20 오후 11:12 (UTC+09:00)</t>
  </si>
  <si>
    <t>lms-prd-myd-enh12k106-lw</t>
  </si>
  <si>
    <t>lms-prd-myd-06-lw-006-3xbo</t>
  </si>
  <si>
    <t>db-2nmue-kr1.vpc-cdb.gov-ntruss.com</t>
  </si>
  <si>
    <t>lms-prd-myd-06-lw-005-3xbb</t>
  </si>
  <si>
    <t>lms-prd-myd-enm01s105-lm</t>
  </si>
  <si>
    <t>lms-prd-myd-05-lm-005-3ug3</t>
  </si>
  <si>
    <t>lms-prd-sub-prv-myd-lm-05</t>
  </si>
  <si>
    <t>db-2nmtt-kr1.vpc-cdb.gov-ntruss.com</t>
  </si>
  <si>
    <t>2025-09-20 오후 10:41 (UTC+09:00)</t>
  </si>
  <si>
    <t>lms-prd-myd-05-lm-006-3ugf</t>
  </si>
  <si>
    <t>lms-prd-myd-enm01s105-lw</t>
  </si>
  <si>
    <t>lms-prd-myd-05-lw-005-42a9</t>
  </si>
  <si>
    <t>lms-prd-sub-prv-myd-lw-05</t>
  </si>
  <si>
    <t>db-2nmsn-kr1.vpc-cdb.gov-ntruss.com</t>
  </si>
  <si>
    <t>lms-prd-myd-05-lw-006-42am</t>
  </si>
  <si>
    <t>lms-prd-myd-enm01l204-lm</t>
  </si>
  <si>
    <t>lms-prd-myd-04-lm-005-3xbc</t>
  </si>
  <si>
    <t>lms-prd-sub-prv-myd-lm-04</t>
  </si>
  <si>
    <t>db-2nms0-kr1.vpc-cdb.gov-ntruss.com</t>
  </si>
  <si>
    <t>lms-prd-myd-04-lm-006-3xbp</t>
  </si>
  <si>
    <t>lms-prd-myd-ene34l101-lw</t>
  </si>
  <si>
    <t>lms-prd-myd-01-lw-005-3uig</t>
  </si>
  <si>
    <t>db-2nmrj-kr1.vpc-cdb.gov-ntruss.com</t>
  </si>
  <si>
    <t>lms-prd-myd-01-lw-006-3ujp</t>
  </si>
  <si>
    <t>lms-prd-myd-enm01l204-lw</t>
  </si>
  <si>
    <t>lms-prd-myd-04-lw-005-3ug5</t>
  </si>
  <si>
    <t>lms-prd-sub-prv-myd-lw-04</t>
  </si>
  <si>
    <t>db-2nmqs-kr1.vpc-cdb.gov-ntruss.com</t>
  </si>
  <si>
    <t>lms-prd-myd-04-lw-006-3uge</t>
  </si>
  <si>
    <t>lms-prd-myd-ene34h203-lm</t>
  </si>
  <si>
    <t>lms-prd-myd-03-lm-005-3ugn</t>
  </si>
  <si>
    <t>db-2nmqc-kr1.vpc-cdb.gov-ntruss.com</t>
  </si>
  <si>
    <t>41GB</t>
  </si>
  <si>
    <t>lms-prd-myd-03-lm-006-3ugr</t>
  </si>
  <si>
    <t>lms-prd-myd-ene34h203-lw</t>
  </si>
  <si>
    <t>lms-prd-myd-03-lw-005-3ugd</t>
  </si>
  <si>
    <t>db-2nmpr-kr1.vpc-cdb.gov-ntruss.com</t>
  </si>
  <si>
    <t>2025-09-20 오후 11:10 (UTC+09:00)</t>
  </si>
  <si>
    <t>lms-prd-myd-03-lw-006-3ugq</t>
  </si>
  <si>
    <t>2025-09-20 오후 11:46 (UTC+09:00)</t>
  </si>
  <si>
    <t>lms-prd-myd-ene34l101-lm</t>
  </si>
  <si>
    <t>lms-prd-myd-01-lm-005-3uih</t>
  </si>
  <si>
    <t>db-2nmn5-kr1.vpc-cdb.gov-ntruss.com</t>
  </si>
  <si>
    <t>lms-prd-myd-01-lm-006-3ujq</t>
  </si>
  <si>
    <t>lcms-prd-myd-01</t>
  </si>
  <si>
    <t>lcms-prd-myd-005-3uim</t>
  </si>
  <si>
    <t>lcms-prd-sub-prv-db-01</t>
  </si>
  <si>
    <t>db-2mgum-kr1.vpc-cdb.gov-ntruss.com</t>
  </si>
  <si>
    <t>2025-09-21 오전 9:15 (UTC+09:00)</t>
  </si>
  <si>
    <t>lcms-prd-myd-006-3ujv</t>
  </si>
  <si>
    <t>lcms-dev-myd-01</t>
  </si>
  <si>
    <t>lcms-dev-myd-007-3xfh</t>
  </si>
  <si>
    <t>db-2mgtg-kr1.vpc-cdb.gov-ntruss.com</t>
  </si>
  <si>
    <t>2025-10-18 오후 8:31 (UTC+09:00)</t>
  </si>
  <si>
    <t>lcms-dev-myd-006-3xfd</t>
  </si>
  <si>
    <t>2025-10-18 오후 7:56 (UTC+09:00)</t>
  </si>
  <si>
    <t>Recovery</t>
  </si>
  <si>
    <t>lcms-dev-myd-03-003-3xff</t>
  </si>
  <si>
    <t>db-2vhgt-kr1.vpc-cdb.gov-ntruss.com</t>
  </si>
  <si>
    <t>2025-10-18 오후 8:12 (UTC+09:00)</t>
  </si>
  <si>
    <t>mh-dev-myd-01</t>
  </si>
  <si>
    <t>mh-dev-myd-005-3uan</t>
  </si>
  <si>
    <t>mh-dev-sub-prv-db-01</t>
  </si>
  <si>
    <t>db-2ge73-kr1.vpc-cdb.gov-ntruss.com</t>
  </si>
  <si>
    <t>2025-09-20 오후 12:39 (UTC+09:00)</t>
  </si>
  <si>
    <t>ai-dev-myd</t>
  </si>
  <si>
    <t>ai-dev-myd-01-005-3ub2</t>
  </si>
  <si>
    <t>ai-dev-vpc-01</t>
  </si>
  <si>
    <t>ai-dev-sub-prv-myd-01</t>
  </si>
  <si>
    <t>db-2fogn-kr1.vpc-cdb.gov-ntruss.com</t>
  </si>
  <si>
    <t>2025-09-20 오후 1:24 (UTC+09:00)</t>
  </si>
  <si>
    <t>ai-prd-myd</t>
  </si>
  <si>
    <t>ai-prd-myd-01-006-3ucw</t>
  </si>
  <si>
    <t>G2 - [Standard]32vCPU, 128GB Mem</t>
  </si>
  <si>
    <t>ai-prd-sub-prv-myd-01</t>
  </si>
  <si>
    <t>db-2fog7-kr1.vpc-cdb.gov-ntruss.com</t>
  </si>
  <si>
    <t>ai-prd-myd-01-007-3uh9</t>
  </si>
  <si>
    <t>2025-09-21 오전 4:43 (UTC+09:00)</t>
  </si>
  <si>
    <t>stt-dev-myd-01</t>
  </si>
  <si>
    <t>stt-dev-myd-003-3uak</t>
  </si>
  <si>
    <t>stt-dev-vpc-01</t>
  </si>
  <si>
    <t>stt-dev-sub-prv-myd-01</t>
  </si>
  <si>
    <t>db-2f7ac-kr1.vpc-cdb.gov-ntruss.com</t>
  </si>
  <si>
    <t>2025-09-20 오전 11:12 (UTC+09:00)</t>
  </si>
  <si>
    <t>stt-dev-myd-004-3ub4</t>
  </si>
  <si>
    <t>stt-prd-myd-01</t>
  </si>
  <si>
    <t>stt-prd-myd-009-3uft</t>
  </si>
  <si>
    <t>db-2c4j2-kr1.vpc-cdb.gov-ntruss.com</t>
  </si>
  <si>
    <t>stt-prd-myd-007-3ufl</t>
  </si>
  <si>
    <t>2025-09-20 오후 9:31 (UTC+09:00)</t>
  </si>
  <si>
    <t>stt-prd-myd-008-3ufp</t>
  </si>
  <si>
    <t>db-2f7b7-kr1.vpc-cdb.gov-ntruss.com</t>
  </si>
  <si>
    <t>2025-09-20 오후 9:48 (UTC+09:00)</t>
  </si>
  <si>
    <t>lms-dev-myd-lm-01</t>
  </si>
  <si>
    <t>lms-dev-myd-lm-005-3u9q</t>
  </si>
  <si>
    <t>db-2bpik-kr1.vpc-cdb.gov-ntruss.com</t>
  </si>
  <si>
    <t>2025-09-20 오전 10:38 (UTC+09:00)</t>
  </si>
  <si>
    <t>28GB</t>
  </si>
  <si>
    <t>lms-dev-myd-lm-006-3uaj</t>
  </si>
  <si>
    <t>2025-09-20 오전 11:11 (UTC+09:00)</t>
  </si>
  <si>
    <t>27GB</t>
  </si>
  <si>
    <t>lms-dev-myd-lw-01</t>
  </si>
  <si>
    <t>lms-dev-myd-lw-006-3u9m</t>
  </si>
  <si>
    <t>db-2bpi6-kr1.vpc-cdb.gov-ntruss.com</t>
  </si>
  <si>
    <t>2025-09-20 오전 10:28 (UTC+09:00)</t>
  </si>
  <si>
    <t>lms-dev-myd-lw-007-3u9r</t>
  </si>
  <si>
    <t>2025-09-20 오전 10:51 (UTC+09:00)</t>
  </si>
  <si>
    <t>lms-comm-myd-01</t>
  </si>
  <si>
    <t>lms-comm-myd-005-3u9l</t>
  </si>
  <si>
    <t>lms-comm-sub-prv-myd-01</t>
  </si>
  <si>
    <t>db-2bp83-kr1.vpc-cdb.gov-ntruss.com</t>
  </si>
  <si>
    <t>2025-09-20 오전 10:23 (UTC+09:00)</t>
  </si>
  <si>
    <t>lms-comm-myd-006-3uh8</t>
  </si>
  <si>
    <t>lms_lrw, lms_cms, lms_lrm</t>
  </si>
  <si>
    <t>backup/DB_DUMP/PRD2026_BK_백업날짜</t>
    <phoneticPr fontId="6" type="noConversion"/>
  </si>
  <si>
    <t>backup/DB_DUMP/PRD2027_BK_백업날짜</t>
  </si>
  <si>
    <t>PRD2026_MATH_백업날짜.sql</t>
    <phoneticPr fontId="6" type="noConversion"/>
  </si>
  <si>
    <t>벡업 대상 스키마</t>
    <phoneticPr fontId="2" type="noConversion"/>
  </si>
  <si>
    <t>백업경로</t>
    <phoneticPr fontId="2" type="noConversion"/>
  </si>
  <si>
    <t>백업파일명</t>
    <phoneticPr fontId="2" type="noConversion"/>
  </si>
  <si>
    <t>실행시간</t>
    <phoneticPr fontId="6" type="noConversion"/>
  </si>
  <si>
    <t>주기</t>
    <phoneticPr fontId="6" type="noConversion"/>
  </si>
  <si>
    <t>이름</t>
    <phoneticPr fontId="6" type="noConversion"/>
  </si>
  <si>
    <t>매일</t>
    <phoneticPr fontId="6" type="noConversion"/>
  </si>
  <si>
    <t>prd2026_bk.sh</t>
    <phoneticPr fontId="6" type="noConversion"/>
  </si>
  <si>
    <r>
      <t>lms_lrw</t>
    </r>
    <r>
      <rPr>
        <sz val="11"/>
        <rFont val="Calibri"/>
        <family val="2"/>
      </rPr>
      <t>,</t>
    </r>
    <r>
      <rPr>
        <sz val="11"/>
        <rFont val="Calibri"/>
      </rPr>
      <t xml:space="preserve"> lmsdevlw</t>
    </r>
    <phoneticPr fontId="2" type="noConversion"/>
  </si>
  <si>
    <t>/DBA/backup_dev_lrm</t>
  </si>
  <si>
    <r>
      <t>dev_lrm_dump_</t>
    </r>
    <r>
      <rPr>
        <sz val="11"/>
        <rFont val="돋움"/>
        <family val="3"/>
        <charset val="129"/>
      </rPr>
      <t>백업시간</t>
    </r>
    <phoneticPr fontId="2" type="noConversion"/>
  </si>
  <si>
    <t>lrm_dev_bk.sh</t>
  </si>
  <si>
    <t>/DBA/backup_dev_lrm</t>
    <phoneticPr fontId="2" type="noConversion"/>
  </si>
  <si>
    <r>
      <t>dev_lrw_dump_</t>
    </r>
    <r>
      <rPr>
        <sz val="11"/>
        <rFont val="돋움"/>
        <family val="3"/>
        <charset val="129"/>
      </rPr>
      <t>백업시간</t>
    </r>
    <phoneticPr fontId="2" type="noConversion"/>
  </si>
  <si>
    <r>
      <t>lcmsdev</t>
    </r>
    <r>
      <rPr>
        <sz val="11"/>
        <rFont val="Calibri"/>
        <family val="2"/>
      </rPr>
      <t xml:space="preserve">, </t>
    </r>
    <r>
      <rPr>
        <sz val="11"/>
        <rFont val="Calibri"/>
      </rPr>
      <t>lms_ath</t>
    </r>
    <r>
      <rPr>
        <sz val="11"/>
        <rFont val="Calibri"/>
        <family val="2"/>
      </rPr>
      <t>,</t>
    </r>
    <r>
      <rPr>
        <sz val="11"/>
        <rFont val="Calibri"/>
      </rPr>
      <t xml:space="preserve"> lms_cms</t>
    </r>
    <r>
      <rPr>
        <sz val="11"/>
        <rFont val="Calibri"/>
        <family val="2"/>
      </rPr>
      <t>,</t>
    </r>
    <r>
      <rPr>
        <sz val="11"/>
        <rFont val="Calibri"/>
      </rPr>
      <t xml:space="preserve"> lms_lrm</t>
    </r>
    <r>
      <rPr>
        <sz val="11"/>
        <rFont val="Calibri"/>
        <family val="2"/>
      </rPr>
      <t>,</t>
    </r>
    <r>
      <rPr>
        <sz val="11"/>
        <rFont val="Calibri"/>
      </rPr>
      <t xml:space="preserve"> lmsdevlm</t>
    </r>
  </si>
  <si>
    <t>dev2026_bk.sh</t>
  </si>
  <si>
    <r>
      <t>lms_cms</t>
    </r>
    <r>
      <rPr>
        <sz val="11"/>
        <rFont val="Calibri"/>
        <family val="2"/>
      </rPr>
      <t>,</t>
    </r>
    <r>
      <rPr>
        <sz val="11"/>
        <rFont val="Calibri"/>
      </rPr>
      <t>lms_lrm</t>
    </r>
    <r>
      <rPr>
        <sz val="11"/>
        <rFont val="Calibri"/>
        <family val="2"/>
      </rPr>
      <t>,</t>
    </r>
    <r>
      <rPr>
        <sz val="11"/>
        <rFont val="Calibri"/>
      </rPr>
      <t xml:space="preserve"> lms_lrw</t>
    </r>
  </si>
  <si>
    <t>/backup/DB_DUMP/DEV2026</t>
  </si>
  <si>
    <r>
      <t>dev_2026_dump_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</si>
  <si>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비고</t>
    <phoneticPr fontId="2" type="noConversion"/>
  </si>
  <si>
    <t>lms_ath lms_cms lms_lrm</t>
  </si>
  <si>
    <t>/backup/DB_DUMP/STG_LRM_BK</t>
  </si>
  <si>
    <r>
      <t>LRM_STG1_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</si>
  <si>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lrm_stg_bk.sh</t>
    <phoneticPr fontId="2" type="noConversion"/>
  </si>
  <si>
    <r>
      <t>LRM_STG2_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</si>
  <si>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lms_ath</t>
    </r>
    <r>
      <rPr>
        <sz val="11"/>
        <rFont val="Calibri"/>
        <family val="2"/>
      </rPr>
      <t>,</t>
    </r>
    <r>
      <rPr>
        <sz val="11"/>
        <rFont val="Calibri"/>
      </rPr>
      <t xml:space="preserve"> lms_cms</t>
    </r>
    <r>
      <rPr>
        <sz val="11"/>
        <rFont val="Calibri"/>
        <family val="2"/>
      </rPr>
      <t>,</t>
    </r>
    <r>
      <rPr>
        <sz val="11"/>
        <rFont val="Calibri"/>
      </rPr>
      <t xml:space="preserve"> lms_lrm</t>
    </r>
  </si>
  <si>
    <r>
      <t>LRM_STG3_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</si>
  <si>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LRM_STG4_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</si>
  <si>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LRM_STG5_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</si>
  <si>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LRM_STG6_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</si>
  <si>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LRM_STG7_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</si>
  <si>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LRM_STG8_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</si>
  <si>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LRM_STG9_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</si>
  <si>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LRM_STG10_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</si>
  <si>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LRM_STG11_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</si>
  <si>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LRM_STG12_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</si>
  <si>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LRM_STG13_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</si>
  <si>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lms_lrw</t>
  </si>
  <si>
    <t>/backup/DB_DUMP/STG_LRW_BK</t>
  </si>
  <si>
    <r>
      <t>LRW_STG1_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</si>
  <si>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lrw_stg_bk.sh</t>
  </si>
  <si>
    <r>
      <t>LRW_STG2_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</si>
  <si>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LRW_STG4_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</si>
  <si>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</si>
  <si>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LRW_STG5_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</si>
  <si>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LRW_STG6_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</si>
  <si>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LRW_STG7_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</si>
  <si>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LRW_STG8_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</si>
  <si>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LRW_STG9_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</si>
  <si>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LRW_STG10_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</si>
  <si>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db-388c1-kr1.vpc-cdb.gov-ntruss.com</t>
    <phoneticPr fontId="2" type="noConversion"/>
  </si>
  <si>
    <t>/backup/DB_DUMP/STG_LRW_BK</t>
    <phoneticPr fontId="2" type="noConversion"/>
  </si>
  <si>
    <r>
      <t>LRW_STG11_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</si>
  <si>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LRW_STG12_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</si>
  <si>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LRW_STG13_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</si>
  <si>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lms_cms</t>
    </r>
    <r>
      <rPr>
        <sz val="11"/>
        <rFont val="Calibri"/>
        <family val="2"/>
      </rPr>
      <t>,</t>
    </r>
    <r>
      <rPr>
        <sz val="11"/>
        <rFont val="Calibri"/>
      </rPr>
      <t xml:space="preserve"> lms_lrm</t>
    </r>
    <r>
      <rPr>
        <sz val="11"/>
        <rFont val="Calibri"/>
        <family val="2"/>
      </rPr>
      <t>,</t>
    </r>
    <r>
      <rPr>
        <sz val="11"/>
        <rFont val="Calibri"/>
      </rPr>
      <t xml:space="preserve"> lms_lrw</t>
    </r>
  </si>
  <si>
    <t>/backup/DB_DUMP/STG2026</t>
  </si>
  <si>
    <r>
      <t>PRD2026_ENG_</t>
    </r>
    <r>
      <rPr>
        <sz val="11"/>
        <rFont val="돋움"/>
        <family val="3"/>
        <charset val="129"/>
      </rPr>
      <t>백업날짜</t>
    </r>
    <r>
      <rPr>
        <sz val="11"/>
        <rFont val="Calibri"/>
      </rPr>
      <t>.sql</t>
    </r>
    <phoneticPr fontId="6" type="noConversion"/>
  </si>
  <si>
    <r>
      <t>stg_2026_math_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</si>
  <si>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stg2026_bk.sh</t>
    <phoneticPr fontId="2" type="noConversion"/>
  </si>
  <si>
    <r>
      <t>stg_2026_eng_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</si>
  <si>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lms_cms</t>
    </r>
    <r>
      <rPr>
        <sz val="11"/>
        <rFont val="Calibri"/>
        <family val="2"/>
      </rPr>
      <t>,</t>
    </r>
    <r>
      <rPr>
        <sz val="11"/>
        <rFont val="Calibri"/>
      </rPr>
      <t xml:space="preserve"> lms_lrm</t>
    </r>
    <r>
      <rPr>
        <sz val="11"/>
        <rFont val="Calibri"/>
        <family val="2"/>
      </rPr>
      <t>,</t>
    </r>
    <r>
      <rPr>
        <sz val="11"/>
        <rFont val="Calibri"/>
      </rPr>
      <t xml:space="preserve"> lms_lrw</t>
    </r>
    <phoneticPr fontId="2" type="noConversion"/>
  </si>
  <si>
    <r>
      <t>/backup/DB_DUMP/PRD_LRM_BK_</t>
    </r>
    <r>
      <rPr>
        <sz val="11"/>
        <rFont val="돋움"/>
        <family val="3"/>
        <charset val="129"/>
      </rPr>
      <t>백업날짜</t>
    </r>
    <phoneticPr fontId="2" type="noConversion"/>
  </si>
  <si>
    <r>
      <t>LRM_PRD1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</si>
  <si>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lrm_prd_bk.sh</t>
    <phoneticPr fontId="2" type="noConversion"/>
  </si>
  <si>
    <t>매일</t>
    <phoneticPr fontId="2" type="noConversion"/>
  </si>
  <si>
    <r>
      <t>LRM_PRD1_1_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</si>
  <si>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</si>
  <si>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LRM_PRD2_1_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</si>
  <si>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</si>
  <si>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</si>
  <si>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LRM_PRD4_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</si>
  <si>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LRM_PRD5_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</si>
  <si>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LRM_PRD6_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</si>
  <si>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LRM_PRD6_1_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</si>
  <si>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LRM_PRD7_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</si>
  <si>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LRM_PRD7_1_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</si>
  <si>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LRM_PRD8_3_1_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</si>
  <si>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LRM_PRD8_3_2_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</si>
  <si>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LRM_PRD8_4_1_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</si>
  <si>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LRM_PRD8_4_2_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</si>
  <si>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LRM_PRD9_3_1_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</si>
  <si>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LRM_PRD9_3_2_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</si>
  <si>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LRM_PRD9_4_1_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</si>
  <si>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LRM_PRD9_4_2_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</si>
  <si>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LRM_PRD10_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</si>
  <si>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</si>
  <si>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</si>
  <si>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LRM_PRD12_1_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</si>
  <si>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</si>
  <si>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LRM_PRD13_1_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</si>
  <si>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/backup/DB_DUMP/PRD_LRW_BK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백업날짜</t>
    </r>
    <phoneticPr fontId="2" type="noConversion"/>
  </si>
  <si>
    <r>
      <t>LRW_PRD1_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</si>
  <si>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lrw_prd_bk.sh</t>
    <phoneticPr fontId="2" type="noConversion"/>
  </si>
  <si>
    <r>
      <t>LRW_PRD1_1_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</si>
  <si>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</si>
  <si>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LRW_PRD2_1_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</si>
  <si>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</si>
  <si>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</si>
  <si>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LRW_PRD4_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</si>
  <si>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LRW_PRD5_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</si>
  <si>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LRW_PRD6_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</si>
  <si>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LRW_PRD6_1_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</si>
  <si>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LRW_PRD7_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</si>
  <si>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LRW_PRD7_1_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</si>
  <si>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LRW_PRD8_3_1_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</si>
  <si>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LRW_PRD8_3_2_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</si>
  <si>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LRW_PRD8_4_1_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</si>
  <si>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LRW_PRD8_4_2_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</si>
  <si>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LRW_PRD9_3_1_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</si>
  <si>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LRW_PRD9_3_2_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</si>
  <si>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LRW_PRD9_4_1_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</si>
  <si>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LRW_PRD9_4_2_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</si>
  <si>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LRW_PRD10_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</si>
  <si>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</si>
  <si>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LRW_PRD12_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</si>
  <si>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LRW_PRD12_1_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</si>
  <si>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LRW_PRD13_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</si>
  <si>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r>
      <t>LRW_PRD13_1_</t>
    </r>
    <r>
      <rPr>
        <sz val="11"/>
        <rFont val="돋움"/>
        <family val="3"/>
        <charset val="129"/>
      </rPr>
      <t>백업날짜</t>
    </r>
    <r>
      <rPr>
        <sz val="11"/>
        <rFont val="Calibri"/>
        <family val="2"/>
      </rPr>
      <t>.sql</t>
    </r>
    <phoneticPr fontId="2" type="noConversion"/>
  </si>
  <si>
    <t>lms-prd-sub-prv-myd-lm-09</t>
    <phoneticPr fontId="2" type="noConversion"/>
  </si>
  <si>
    <t>db-30fl3g-kr1.vpc-cdb.gov-ntruss.com</t>
    <phoneticPr fontId="2" type="noConversion"/>
  </si>
  <si>
    <t>db-308ukf-kr1.vpc-cdb.gov-ntruss.com</t>
    <phoneticPr fontId="2" type="noConversion"/>
  </si>
  <si>
    <t>학교급</t>
  </si>
  <si>
    <t>교과서 명</t>
  </si>
  <si>
    <t>저자</t>
  </si>
  <si>
    <t>초등</t>
  </si>
  <si>
    <t>영어 3</t>
  </si>
  <si>
    <t>이동환</t>
  </si>
  <si>
    <t>db-2nmn5-kr1.vpc-cdb.gov-ntruss.com</t>
    <phoneticPr fontId="6" type="noConversion"/>
  </si>
  <si>
    <t>영어 4</t>
  </si>
  <si>
    <t>db-308ufr-kr1.vpc-cdb.gov-ntruss.com</t>
    <phoneticPr fontId="6" type="noConversion"/>
  </si>
  <si>
    <t>김태은</t>
  </si>
  <si>
    <t>db-2o1ai-kr1.vpc-cdb.gov-ntruss.com</t>
    <phoneticPr fontId="6" type="noConversion"/>
  </si>
  <si>
    <t>db-308ugs-kr1.vpc-cdb.gov-ntruss.com</t>
    <phoneticPr fontId="6" type="noConversion"/>
  </si>
  <si>
    <t>함순애</t>
  </si>
  <si>
    <t>db-2nmqc-kr1.vpc-cdb.gov-ntruss.com</t>
    <phoneticPr fontId="6" type="noConversion"/>
  </si>
  <si>
    <t>db-308uik-kr1.vpc-cdb.gov-ntruss.com</t>
    <phoneticPr fontId="6" type="noConversion"/>
  </si>
  <si>
    <t>중학</t>
  </si>
  <si>
    <t>영어</t>
  </si>
  <si>
    <t>이상기</t>
  </si>
  <si>
    <t>db-2nms0-kr1.vpc-cdb.gov-ntruss.com</t>
    <phoneticPr fontId="6" type="noConversion"/>
  </si>
  <si>
    <t>영어 </t>
  </si>
  <si>
    <t>소영순</t>
  </si>
  <si>
    <t>db-2nmtt-kr1.vpc-cdb.gov-ntruss.com</t>
    <phoneticPr fontId="6" type="noConversion"/>
  </si>
  <si>
    <t>고등</t>
  </si>
  <si>
    <t>공통영어 1</t>
  </si>
  <si>
    <t>강상구</t>
  </si>
  <si>
    <t>db-2nmv1-kr1.vpc-cdb.gov-ntruss.com</t>
    <phoneticPr fontId="6" type="noConversion"/>
  </si>
  <si>
    <t>공통영어 2</t>
  </si>
  <si>
    <t>db-308ujk-kr1.vpc-cdb.gov-ntruss.com</t>
    <phoneticPr fontId="6" type="noConversion"/>
  </si>
  <si>
    <t>조수경</t>
  </si>
  <si>
    <t>db-2nn03-kr1.vpc-cdb.gov-ntruss.com</t>
    <phoneticPr fontId="6" type="noConversion"/>
  </si>
  <si>
    <t>db-308ukf-kr1.vpc-cdb.gov-ntruss.com</t>
    <phoneticPr fontId="6" type="noConversion"/>
  </si>
  <si>
    <t>수학 3-1</t>
    <phoneticPr fontId="6" type="noConversion"/>
  </si>
  <si>
    <t>박만구</t>
  </si>
  <si>
    <t>db-2nn1e-kr1.vpc-cdb.gov-ntruss.com</t>
    <phoneticPr fontId="6" type="noConversion"/>
  </si>
  <si>
    <t>수학 3-2</t>
  </si>
  <si>
    <t>db-30fl0u-kr1.vpc-cdb.gov-ntruss.com</t>
    <phoneticPr fontId="6" type="noConversion"/>
  </si>
  <si>
    <t>수학 4-1</t>
    <phoneticPr fontId="6" type="noConversion"/>
  </si>
  <si>
    <t>db-308ulb-kr1.vpc-cdb.gov-ntruss.com</t>
    <phoneticPr fontId="6" type="noConversion"/>
  </si>
  <si>
    <t>수학 4-2</t>
  </si>
  <si>
    <t xml:space="preserve"> db-30fm83-kr1.vpc-cdb.gov-ntruss.com</t>
    <phoneticPr fontId="6" type="noConversion"/>
  </si>
  <si>
    <t>한대희</t>
  </si>
  <si>
    <t>db-2nn2b-kr1.vpc-cdb.gov-ntruss.com</t>
    <phoneticPr fontId="6" type="noConversion"/>
  </si>
  <si>
    <t>db-30fl2n-kr1.vpc-cdb.gov-ntruss.com</t>
    <phoneticPr fontId="6" type="noConversion"/>
  </si>
  <si>
    <t>db-308ult-kr1.vpc-cdb.gov-ntruss.com</t>
    <phoneticPr fontId="6" type="noConversion"/>
  </si>
  <si>
    <t>db-30fl3g-kr1.vpc-cdb.gov-ntruss.com</t>
    <phoneticPr fontId="6" type="noConversion"/>
  </si>
  <si>
    <t>수학</t>
  </si>
  <si>
    <t>김동재</t>
  </si>
  <si>
    <t>db-2nn3k-kr1.vpc-cdb.gov-ntruss.com</t>
    <phoneticPr fontId="6" type="noConversion"/>
  </si>
  <si>
    <t>김화경</t>
  </si>
  <si>
    <t>db-2nn4q-kr1.vpc-cdb.gov-ntruss.com</t>
    <phoneticPr fontId="6" type="noConversion"/>
  </si>
  <si>
    <t>공통수학1</t>
  </si>
  <si>
    <t>전인태</t>
  </si>
  <si>
    <t>db-2nn5k-kr1.vpc-cdb.gov-ntruss.com</t>
    <phoneticPr fontId="6" type="noConversion"/>
  </si>
  <si>
    <t>공통수학2</t>
  </si>
  <si>
    <t>db-308umd-kr1.vpc-cdb.gov-ntruss.com</t>
    <phoneticPr fontId="6" type="noConversion"/>
  </si>
  <si>
    <t>홍진곤</t>
  </si>
  <si>
    <t>db-2nn6o-kr1.vpc-cdb.gov-ntruss.com</t>
    <phoneticPr fontId="6" type="noConversion"/>
  </si>
  <si>
    <t>db-308un0-kr1.vpc-cdb.gov-ntruss.com</t>
    <phoneticPr fontId="6" type="noConversion"/>
  </si>
  <si>
    <t>db-2nmrj-kr1.vpc-cdb.gov-ntruss.com</t>
    <phoneticPr fontId="6" type="noConversion"/>
  </si>
  <si>
    <t>db-308unj-kr1.vpc-cdb.gov-ntruss.com</t>
    <phoneticPr fontId="6" type="noConversion"/>
  </si>
  <si>
    <t>db-2o1a4-kr1.vpc-cdb.gov-ntruss.com</t>
    <phoneticPr fontId="6" type="noConversion"/>
  </si>
  <si>
    <t>db-308uo0-kr1.vpc-cdb.gov-ntruss.com</t>
    <phoneticPr fontId="6" type="noConversion"/>
  </si>
  <si>
    <t>db-2nmpr-kr1.vpc-cdb.gov-ntruss.com</t>
    <phoneticPr fontId="6" type="noConversion"/>
  </si>
  <si>
    <t>db-308uok-kr1.vpc-cdb.gov-ntruss.com</t>
    <phoneticPr fontId="6" type="noConversion"/>
  </si>
  <si>
    <t>db-2nmqs-kr1.vpc-cdb.gov-ntruss.com</t>
    <phoneticPr fontId="6" type="noConversion"/>
  </si>
  <si>
    <t>db-2nmsn-kr1.vpc-cdb.gov-ntruss.com</t>
    <phoneticPr fontId="6" type="noConversion"/>
  </si>
  <si>
    <t>강상구</t>
    <phoneticPr fontId="6" type="noConversion"/>
  </si>
  <si>
    <t>db-2nmue-kr1.vpc-cdb.gov-ntruss.com</t>
    <phoneticPr fontId="6" type="noConversion"/>
  </si>
  <si>
    <t>db-308up5-kr1.vpc-cdb.gov-ntruss.com</t>
    <phoneticPr fontId="6" type="noConversion"/>
  </si>
  <si>
    <t>db-2nmvf-kr1.vpc-cdb.gov-ntruss.com</t>
    <phoneticPr fontId="6" type="noConversion"/>
  </si>
  <si>
    <t>db-308upl-kr1.vpc-cdb.gov-ntruss.com</t>
    <phoneticPr fontId="6" type="noConversion"/>
  </si>
  <si>
    <t>db-2nn0r-kr1.vpc-cdb.gov-ntruss.com</t>
    <phoneticPr fontId="6" type="noConversion"/>
  </si>
  <si>
    <t>수학 3-2</t>
    <phoneticPr fontId="6" type="noConversion"/>
  </si>
  <si>
    <t>db-30fl47-kr1.vpc-cdb.gov-ntruss.com</t>
    <phoneticPr fontId="6" type="noConversion"/>
  </si>
  <si>
    <t>db-308uq8-kr1.vpc-cdb.gov-ntruss.com</t>
    <phoneticPr fontId="6" type="noConversion"/>
  </si>
  <si>
    <t>수학 4-2</t>
    <phoneticPr fontId="6" type="noConversion"/>
  </si>
  <si>
    <t>db-30fl4s-kr1.vpc-cdb.gov-ntruss.com</t>
    <phoneticPr fontId="6" type="noConversion"/>
  </si>
  <si>
    <t>db-2nn1s-kr1.vpc-cdb.gov-ntruss.com</t>
    <phoneticPr fontId="6" type="noConversion"/>
  </si>
  <si>
    <t>db-30fl9k-kr1.vpc-cdb.gov-ntruss.com</t>
    <phoneticPr fontId="6" type="noConversion"/>
  </si>
  <si>
    <t>db-308urd-kr1.vpc-cdb.gov-ntruss.com</t>
    <phoneticPr fontId="6" type="noConversion"/>
  </si>
  <si>
    <t>db-30fla9-kr1.vpc-cdb.gov-ntruss.com</t>
    <phoneticPr fontId="6" type="noConversion"/>
  </si>
  <si>
    <t>db-2nn37-kr1.vpc-cdb.gov-ntruss.com</t>
    <phoneticPr fontId="6" type="noConversion"/>
  </si>
  <si>
    <t>db-2nn4a-kr1.vpc-cdb.gov-ntruss.com</t>
    <phoneticPr fontId="6" type="noConversion"/>
  </si>
  <si>
    <t>db-2nn57-kr1.vpc-cdb.gov-ntruss.com</t>
    <phoneticPr fontId="6" type="noConversion"/>
  </si>
  <si>
    <t>db-308us7-kr1.vpc-cdb.gov-ntruss.com</t>
    <phoneticPr fontId="6" type="noConversion"/>
  </si>
  <si>
    <t>db-2nn6b-kr1.vpc-cdb.gov-ntruss.com</t>
    <phoneticPr fontId="6" type="noConversion"/>
  </si>
  <si>
    <t>db-308usp-kr1.vpc-cdb.gov-ntruss.com</t>
    <phoneticPr fontId="2" type="noConversion"/>
  </si>
  <si>
    <t>db-308usp-kr1.vpc-cdb.gov-ntruss.com</t>
    <phoneticPr fontId="6" type="noConversion"/>
  </si>
  <si>
    <t>LMS PRD LW DB 현황</t>
    <phoneticPr fontId="6" type="noConversion"/>
  </si>
  <si>
    <t>접속정보</t>
    <phoneticPr fontId="6" type="noConversion"/>
  </si>
  <si>
    <t>db-2bpik-kr1.vpc-cdb.gov-ntruss.com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</si>
</sst>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8" formatCode="mm&quot;월&quot;\ dd&quot;일&quot;"/>
  </numFmts>
  <fonts count="12" x14ac:knownFonts="1">
    <font>
      <sz val="11"/>
      <name val="Calibri"/>
    </font>
    <font>
      <sz val="12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FC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5" fillId="2" borderId="0" xfId="0" applyFont="1" applyFill="1"/>
    <xf numFmtId="0" fontId="4" fillId="0" borderId="0" xfId="0" applyFont="1"/>
    <xf numFmtId="176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right" vertical="center"/>
    </xf>
    <xf numFmtId="178" fontId="8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178" fontId="8" fillId="5" borderId="1" xfId="0" applyNumberFormat="1" applyFont="1" applyFill="1" applyBorder="1" applyAlignment="1">
      <alignment horizontal="right" vertical="center"/>
    </xf>
    <xf numFmtId="178" fontId="9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49" fontId="11" fillId="0" borderId="0" xfId="1" applyNumberFormat="1" applyFont="1" applyAlignment="1">
      <alignment vertical="center"/>
    </xf>
  </cellXfs>
  <cellStyles count="2">
    <cellStyle name="표준" xfId="0" builtinId="0"/>
    <cellStyle name="표준 3" xfId="1" xr:uid="{42888930-A700-4A95-B3B4-E466E40C08C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"/>
  <sheetViews>
    <sheetView workbookViewId="0">
      <selection activeCell="J29" sqref="J29"/>
    </sheetView>
  </sheetViews>
  <sheetFormatPr defaultRowHeight="15" x14ac:dyDescent="0.25"/>
  <cols>
    <col min="1" max="15" width="30.85546875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16</v>
      </c>
      <c r="B3" t="s">
        <v>31</v>
      </c>
      <c r="C3" t="s">
        <v>18</v>
      </c>
      <c r="D3" t="s">
        <v>32</v>
      </c>
      <c r="E3" t="s">
        <v>20</v>
      </c>
      <c r="F3" t="s">
        <v>21</v>
      </c>
      <c r="G3" t="s">
        <v>22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</row>
    <row r="4" spans="1:16" x14ac:dyDescent="0.25">
      <c r="A4" t="s">
        <v>33</v>
      </c>
      <c r="B4" t="s">
        <v>17</v>
      </c>
      <c r="C4" t="s">
        <v>18</v>
      </c>
      <c r="D4" t="s">
        <v>34</v>
      </c>
      <c r="E4" t="s">
        <v>20</v>
      </c>
      <c r="F4" t="s">
        <v>35</v>
      </c>
      <c r="G4" t="s">
        <v>36</v>
      </c>
      <c r="H4" t="s">
        <v>37</v>
      </c>
      <c r="J4" t="s">
        <v>38</v>
      </c>
      <c r="K4" t="s">
        <v>25</v>
      </c>
      <c r="L4" t="s">
        <v>39</v>
      </c>
      <c r="M4" t="s">
        <v>27</v>
      </c>
      <c r="N4" t="s">
        <v>28</v>
      </c>
      <c r="O4" t="s">
        <v>29</v>
      </c>
      <c r="P4" t="s">
        <v>40</v>
      </c>
    </row>
    <row r="5" spans="1:16" x14ac:dyDescent="0.25">
      <c r="A5" t="s">
        <v>33</v>
      </c>
      <c r="B5" t="s">
        <v>31</v>
      </c>
      <c r="C5" t="s">
        <v>18</v>
      </c>
      <c r="D5" t="s">
        <v>41</v>
      </c>
      <c r="E5" t="s">
        <v>20</v>
      </c>
      <c r="F5" t="s">
        <v>35</v>
      </c>
      <c r="G5" t="s">
        <v>36</v>
      </c>
      <c r="J5" t="s">
        <v>38</v>
      </c>
      <c r="K5" t="s">
        <v>25</v>
      </c>
      <c r="L5" t="s">
        <v>42</v>
      </c>
      <c r="M5" t="s">
        <v>27</v>
      </c>
      <c r="N5" t="s">
        <v>28</v>
      </c>
      <c r="O5" t="s">
        <v>29</v>
      </c>
      <c r="P5" t="s">
        <v>40</v>
      </c>
    </row>
    <row r="6" spans="1:16" x14ac:dyDescent="0.25">
      <c r="A6" t="s">
        <v>43</v>
      </c>
      <c r="B6" t="s">
        <v>17</v>
      </c>
      <c r="C6" t="s">
        <v>18</v>
      </c>
      <c r="D6" t="s">
        <v>44</v>
      </c>
      <c r="E6" t="s">
        <v>20</v>
      </c>
      <c r="F6" t="s">
        <v>35</v>
      </c>
      <c r="G6" t="s">
        <v>45</v>
      </c>
      <c r="H6" t="s">
        <v>46</v>
      </c>
      <c r="J6" t="s">
        <v>47</v>
      </c>
      <c r="K6" t="s">
        <v>25</v>
      </c>
      <c r="L6" t="s">
        <v>39</v>
      </c>
      <c r="M6" t="s">
        <v>27</v>
      </c>
      <c r="N6" t="s">
        <v>28</v>
      </c>
      <c r="O6" t="s">
        <v>29</v>
      </c>
      <c r="P6" t="s">
        <v>40</v>
      </c>
    </row>
    <row r="7" spans="1:16" x14ac:dyDescent="0.25">
      <c r="A7" t="s">
        <v>43</v>
      </c>
      <c r="B7" t="s">
        <v>31</v>
      </c>
      <c r="C7" t="s">
        <v>18</v>
      </c>
      <c r="D7" t="s">
        <v>48</v>
      </c>
      <c r="E7" t="s">
        <v>20</v>
      </c>
      <c r="F7" t="s">
        <v>35</v>
      </c>
      <c r="G7" t="s">
        <v>45</v>
      </c>
      <c r="J7" t="s">
        <v>47</v>
      </c>
      <c r="K7" t="s">
        <v>25</v>
      </c>
      <c r="L7" t="s">
        <v>49</v>
      </c>
      <c r="M7" t="s">
        <v>27</v>
      </c>
      <c r="N7" t="s">
        <v>28</v>
      </c>
      <c r="O7" t="s">
        <v>29</v>
      </c>
      <c r="P7" t="s">
        <v>40</v>
      </c>
    </row>
    <row r="8" spans="1:16" x14ac:dyDescent="0.25">
      <c r="A8" t="s">
        <v>50</v>
      </c>
      <c r="B8" t="s">
        <v>51</v>
      </c>
      <c r="C8" t="s">
        <v>18</v>
      </c>
      <c r="D8" t="s">
        <v>52</v>
      </c>
      <c r="E8" t="s">
        <v>20</v>
      </c>
      <c r="F8" t="s">
        <v>53</v>
      </c>
      <c r="G8" t="s">
        <v>54</v>
      </c>
      <c r="H8" t="s">
        <v>55</v>
      </c>
      <c r="J8" t="s">
        <v>56</v>
      </c>
      <c r="K8" t="s">
        <v>25</v>
      </c>
      <c r="L8" t="s">
        <v>49</v>
      </c>
      <c r="M8" t="s">
        <v>27</v>
      </c>
      <c r="N8" t="s">
        <v>28</v>
      </c>
      <c r="O8" t="s">
        <v>29</v>
      </c>
      <c r="P8" t="s">
        <v>57</v>
      </c>
    </row>
    <row r="9" spans="1:16" x14ac:dyDescent="0.25">
      <c r="A9" t="s">
        <v>58</v>
      </c>
      <c r="B9" t="s">
        <v>51</v>
      </c>
      <c r="C9" t="s">
        <v>18</v>
      </c>
      <c r="D9" t="s">
        <v>59</v>
      </c>
      <c r="E9" t="s">
        <v>20</v>
      </c>
      <c r="F9" t="s">
        <v>53</v>
      </c>
      <c r="G9" t="s">
        <v>60</v>
      </c>
      <c r="H9" t="s">
        <v>61</v>
      </c>
      <c r="J9" t="s">
        <v>62</v>
      </c>
      <c r="K9" t="s">
        <v>25</v>
      </c>
      <c r="L9" t="s">
        <v>42</v>
      </c>
      <c r="M9" t="s">
        <v>27</v>
      </c>
      <c r="N9" t="s">
        <v>28</v>
      </c>
      <c r="O9" t="s">
        <v>29</v>
      </c>
      <c r="P9" t="s">
        <v>57</v>
      </c>
    </row>
    <row r="10" spans="1:16" x14ac:dyDescent="0.25">
      <c r="A10" t="s">
        <v>63</v>
      </c>
      <c r="B10" t="s">
        <v>51</v>
      </c>
      <c r="C10" t="s">
        <v>18</v>
      </c>
      <c r="D10" t="s">
        <v>64</v>
      </c>
      <c r="E10" t="s">
        <v>20</v>
      </c>
      <c r="F10" t="s">
        <v>21</v>
      </c>
      <c r="G10" t="s">
        <v>65</v>
      </c>
      <c r="H10" t="s">
        <v>66</v>
      </c>
      <c r="J10" t="s">
        <v>67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57</v>
      </c>
    </row>
    <row r="11" spans="1:16" x14ac:dyDescent="0.25">
      <c r="A11" t="s">
        <v>69</v>
      </c>
      <c r="B11" t="s">
        <v>51</v>
      </c>
      <c r="C11" t="s">
        <v>18</v>
      </c>
      <c r="D11" t="s">
        <v>70</v>
      </c>
      <c r="E11" t="s">
        <v>20</v>
      </c>
      <c r="F11" t="s">
        <v>35</v>
      </c>
      <c r="G11" t="s">
        <v>71</v>
      </c>
      <c r="H11" t="s">
        <v>72</v>
      </c>
      <c r="J11" t="s">
        <v>73</v>
      </c>
      <c r="K11" t="s">
        <v>25</v>
      </c>
      <c r="L11" t="s">
        <v>42</v>
      </c>
      <c r="M11" t="s">
        <v>27</v>
      </c>
      <c r="N11" t="s">
        <v>74</v>
      </c>
      <c r="O11" t="s">
        <v>29</v>
      </c>
      <c r="P11" t="s">
        <v>75</v>
      </c>
    </row>
    <row r="12" spans="1:16" x14ac:dyDescent="0.25">
      <c r="A12" t="s">
        <v>76</v>
      </c>
      <c r="B12" t="s">
        <v>51</v>
      </c>
      <c r="C12" t="s">
        <v>18</v>
      </c>
      <c r="D12" t="s">
        <v>77</v>
      </c>
      <c r="E12" t="s">
        <v>20</v>
      </c>
      <c r="F12" t="s">
        <v>35</v>
      </c>
      <c r="G12" t="s">
        <v>78</v>
      </c>
      <c r="H12" t="s">
        <v>79</v>
      </c>
      <c r="J12" t="s">
        <v>80</v>
      </c>
      <c r="K12" t="s">
        <v>25</v>
      </c>
      <c r="L12" t="s">
        <v>81</v>
      </c>
      <c r="M12" t="s">
        <v>27</v>
      </c>
      <c r="N12" t="s">
        <v>74</v>
      </c>
      <c r="O12" t="s">
        <v>29</v>
      </c>
      <c r="P12" t="s">
        <v>82</v>
      </c>
    </row>
    <row r="13" spans="1:16" x14ac:dyDescent="0.25">
      <c r="A13" t="s">
        <v>83</v>
      </c>
      <c r="B13" t="s">
        <v>51</v>
      </c>
      <c r="C13" t="s">
        <v>18</v>
      </c>
      <c r="D13" t="s">
        <v>84</v>
      </c>
      <c r="E13" t="s">
        <v>20</v>
      </c>
      <c r="F13" t="s">
        <v>21</v>
      </c>
      <c r="G13" t="s">
        <v>85</v>
      </c>
      <c r="H13" t="s">
        <v>86</v>
      </c>
      <c r="J13" t="s">
        <v>87</v>
      </c>
      <c r="K13" t="s">
        <v>25</v>
      </c>
      <c r="L13" t="s">
        <v>88</v>
      </c>
      <c r="M13" t="s">
        <v>27</v>
      </c>
      <c r="N13" t="s">
        <v>74</v>
      </c>
      <c r="O13" t="s">
        <v>29</v>
      </c>
      <c r="P13" t="s">
        <v>89</v>
      </c>
    </row>
    <row r="14" spans="1:16" x14ac:dyDescent="0.25">
      <c r="A14" t="s">
        <v>90</v>
      </c>
      <c r="B14" t="s">
        <v>51</v>
      </c>
      <c r="C14" t="s">
        <v>18</v>
      </c>
      <c r="D14" t="s">
        <v>91</v>
      </c>
      <c r="E14" t="s">
        <v>20</v>
      </c>
      <c r="F14" t="s">
        <v>21</v>
      </c>
      <c r="G14" t="s">
        <v>92</v>
      </c>
      <c r="H14" t="s">
        <v>93</v>
      </c>
      <c r="J14" t="s">
        <v>94</v>
      </c>
      <c r="K14" t="s">
        <v>25</v>
      </c>
      <c r="L14" t="s">
        <v>95</v>
      </c>
      <c r="M14" t="s">
        <v>27</v>
      </c>
      <c r="N14" t="s">
        <v>74</v>
      </c>
      <c r="O14" t="s">
        <v>29</v>
      </c>
      <c r="P14" t="s">
        <v>89</v>
      </c>
    </row>
    <row r="15" spans="1:16" x14ac:dyDescent="0.25">
      <c r="A15" t="s">
        <v>96</v>
      </c>
      <c r="B15" t="s">
        <v>17</v>
      </c>
      <c r="C15" t="s">
        <v>18</v>
      </c>
      <c r="D15" t="s">
        <v>97</v>
      </c>
      <c r="E15" t="s">
        <v>98</v>
      </c>
      <c r="F15" t="s">
        <v>35</v>
      </c>
      <c r="G15" t="s">
        <v>99</v>
      </c>
      <c r="H15" t="s">
        <v>100</v>
      </c>
      <c r="J15" t="s">
        <v>101</v>
      </c>
      <c r="K15" t="s">
        <v>25</v>
      </c>
      <c r="L15" t="s">
        <v>102</v>
      </c>
      <c r="M15" t="s">
        <v>27</v>
      </c>
      <c r="N15" t="s">
        <v>74</v>
      </c>
      <c r="O15" t="s">
        <v>29</v>
      </c>
      <c r="P15" t="s">
        <v>40</v>
      </c>
    </row>
    <row r="16" spans="1:16" x14ac:dyDescent="0.25">
      <c r="A16" t="s">
        <v>96</v>
      </c>
      <c r="B16" t="s">
        <v>31</v>
      </c>
      <c r="C16" t="s">
        <v>18</v>
      </c>
      <c r="D16" t="s">
        <v>103</v>
      </c>
      <c r="E16" t="s">
        <v>98</v>
      </c>
      <c r="F16" t="s">
        <v>35</v>
      </c>
      <c r="G16" t="s">
        <v>99</v>
      </c>
      <c r="J16" t="s">
        <v>104</v>
      </c>
      <c r="K16" t="s">
        <v>25</v>
      </c>
      <c r="L16" t="s">
        <v>102</v>
      </c>
      <c r="M16" t="s">
        <v>27</v>
      </c>
      <c r="N16" t="s">
        <v>74</v>
      </c>
      <c r="O16" t="s">
        <v>29</v>
      </c>
      <c r="P16" t="s">
        <v>40</v>
      </c>
    </row>
    <row r="17" spans="1:16" x14ac:dyDescent="0.25">
      <c r="A17" t="s">
        <v>105</v>
      </c>
      <c r="B17" t="s">
        <v>17</v>
      </c>
      <c r="C17" t="s">
        <v>18</v>
      </c>
      <c r="D17" t="s">
        <v>106</v>
      </c>
      <c r="E17" t="s">
        <v>20</v>
      </c>
      <c r="F17" t="s">
        <v>107</v>
      </c>
      <c r="G17" t="s">
        <v>108</v>
      </c>
      <c r="H17" t="s">
        <v>109</v>
      </c>
      <c r="J17" t="s">
        <v>110</v>
      </c>
      <c r="K17" t="s">
        <v>25</v>
      </c>
      <c r="L17" t="s">
        <v>26</v>
      </c>
      <c r="M17" t="s">
        <v>27</v>
      </c>
      <c r="N17" t="s">
        <v>74</v>
      </c>
      <c r="O17" t="s">
        <v>29</v>
      </c>
      <c r="P17" t="s">
        <v>111</v>
      </c>
    </row>
    <row r="18" spans="1:16" x14ac:dyDescent="0.25">
      <c r="A18" t="s">
        <v>105</v>
      </c>
      <c r="B18" t="s">
        <v>31</v>
      </c>
      <c r="C18" t="s">
        <v>18</v>
      </c>
      <c r="D18" t="s">
        <v>112</v>
      </c>
      <c r="E18" t="s">
        <v>20</v>
      </c>
      <c r="F18" t="s">
        <v>107</v>
      </c>
      <c r="G18" t="s">
        <v>108</v>
      </c>
      <c r="J18" t="s">
        <v>110</v>
      </c>
      <c r="K18" t="s">
        <v>25</v>
      </c>
      <c r="L18" t="s">
        <v>26</v>
      </c>
      <c r="M18" t="s">
        <v>27</v>
      </c>
      <c r="N18" t="s">
        <v>74</v>
      </c>
      <c r="O18" t="s">
        <v>29</v>
      </c>
      <c r="P18" t="s">
        <v>111</v>
      </c>
    </row>
    <row r="19" spans="1:16" x14ac:dyDescent="0.25">
      <c r="A19" t="s">
        <v>105</v>
      </c>
      <c r="B19" t="s">
        <v>113</v>
      </c>
      <c r="C19" t="s">
        <v>18</v>
      </c>
      <c r="D19" t="s">
        <v>114</v>
      </c>
      <c r="E19" t="s">
        <v>20</v>
      </c>
      <c r="F19" t="s">
        <v>107</v>
      </c>
      <c r="G19" t="s">
        <v>108</v>
      </c>
      <c r="H19" t="s">
        <v>115</v>
      </c>
      <c r="J19" t="s">
        <v>116</v>
      </c>
      <c r="K19" t="s">
        <v>25</v>
      </c>
      <c r="L19" t="s">
        <v>26</v>
      </c>
      <c r="M19" t="s">
        <v>27</v>
      </c>
      <c r="N19" t="s">
        <v>74</v>
      </c>
      <c r="O19" t="s">
        <v>29</v>
      </c>
      <c r="P19" t="s">
        <v>111</v>
      </c>
    </row>
    <row r="20" spans="1:16" x14ac:dyDescent="0.25">
      <c r="A20" t="s">
        <v>117</v>
      </c>
      <c r="B20" t="s">
        <v>51</v>
      </c>
      <c r="C20" t="s">
        <v>18</v>
      </c>
      <c r="D20" t="s">
        <v>118</v>
      </c>
      <c r="E20" t="s">
        <v>20</v>
      </c>
      <c r="F20" t="s">
        <v>35</v>
      </c>
      <c r="G20" t="s">
        <v>119</v>
      </c>
      <c r="H20" t="s">
        <v>120</v>
      </c>
      <c r="J20" t="s">
        <v>121</v>
      </c>
      <c r="K20" t="s">
        <v>25</v>
      </c>
      <c r="L20" t="s">
        <v>122</v>
      </c>
      <c r="M20" t="s">
        <v>27</v>
      </c>
      <c r="N20" t="s">
        <v>74</v>
      </c>
      <c r="O20" t="s">
        <v>29</v>
      </c>
      <c r="P20" t="s">
        <v>89</v>
      </c>
    </row>
    <row r="21" spans="1:16" x14ac:dyDescent="0.25">
      <c r="A21" t="s">
        <v>123</v>
      </c>
      <c r="B21" t="s">
        <v>51</v>
      </c>
      <c r="C21" t="s">
        <v>18</v>
      </c>
      <c r="D21" t="s">
        <v>124</v>
      </c>
      <c r="E21" t="s">
        <v>20</v>
      </c>
      <c r="F21" t="s">
        <v>35</v>
      </c>
      <c r="G21" t="s">
        <v>119</v>
      </c>
      <c r="H21" t="s">
        <v>125</v>
      </c>
      <c r="J21" t="s">
        <v>126</v>
      </c>
      <c r="K21" t="s">
        <v>25</v>
      </c>
      <c r="L21" t="s">
        <v>122</v>
      </c>
      <c r="M21" t="s">
        <v>27</v>
      </c>
      <c r="N21" t="s">
        <v>74</v>
      </c>
      <c r="O21" t="s">
        <v>29</v>
      </c>
      <c r="P21" t="s">
        <v>89</v>
      </c>
    </row>
    <row r="22" spans="1:16" x14ac:dyDescent="0.25">
      <c r="A22" t="s">
        <v>127</v>
      </c>
      <c r="B22" t="s">
        <v>51</v>
      </c>
      <c r="C22" t="s">
        <v>18</v>
      </c>
      <c r="D22" t="s">
        <v>128</v>
      </c>
      <c r="E22" t="s">
        <v>20</v>
      </c>
      <c r="F22" t="s">
        <v>35</v>
      </c>
      <c r="G22" t="s">
        <v>119</v>
      </c>
      <c r="H22" t="s">
        <v>129</v>
      </c>
      <c r="J22" t="s">
        <v>130</v>
      </c>
      <c r="K22" t="s">
        <v>25</v>
      </c>
      <c r="L22" t="s">
        <v>122</v>
      </c>
      <c r="M22" t="s">
        <v>27</v>
      </c>
      <c r="N22" t="s">
        <v>74</v>
      </c>
      <c r="O22" t="s">
        <v>29</v>
      </c>
      <c r="P22" t="s">
        <v>89</v>
      </c>
    </row>
    <row r="23" spans="1:16" x14ac:dyDescent="0.25">
      <c r="A23" t="s">
        <v>131</v>
      </c>
      <c r="B23" t="s">
        <v>51</v>
      </c>
      <c r="C23" t="s">
        <v>18</v>
      </c>
      <c r="D23" t="s">
        <v>132</v>
      </c>
      <c r="E23" t="s">
        <v>20</v>
      </c>
      <c r="F23" t="s">
        <v>21</v>
      </c>
      <c r="G23" t="s">
        <v>133</v>
      </c>
      <c r="H23" t="s">
        <v>134</v>
      </c>
      <c r="J23" t="s">
        <v>135</v>
      </c>
      <c r="K23" t="s">
        <v>25</v>
      </c>
      <c r="L23" t="s">
        <v>122</v>
      </c>
      <c r="M23" t="s">
        <v>27</v>
      </c>
      <c r="N23" t="s">
        <v>74</v>
      </c>
      <c r="O23" t="s">
        <v>29</v>
      </c>
      <c r="P23" t="s">
        <v>89</v>
      </c>
    </row>
    <row r="24" spans="1:16" x14ac:dyDescent="0.25">
      <c r="A24" t="s">
        <v>136</v>
      </c>
      <c r="B24" t="s">
        <v>51</v>
      </c>
      <c r="C24" t="s">
        <v>18</v>
      </c>
      <c r="D24" t="s">
        <v>137</v>
      </c>
      <c r="E24" t="s">
        <v>20</v>
      </c>
      <c r="F24" t="s">
        <v>53</v>
      </c>
      <c r="G24" t="s">
        <v>138</v>
      </c>
      <c r="H24" t="s">
        <v>139</v>
      </c>
      <c r="J24" t="s">
        <v>140</v>
      </c>
      <c r="K24" t="s">
        <v>25</v>
      </c>
      <c r="L24" t="s">
        <v>141</v>
      </c>
      <c r="M24" t="s">
        <v>27</v>
      </c>
      <c r="N24" t="s">
        <v>74</v>
      </c>
      <c r="O24" t="s">
        <v>29</v>
      </c>
      <c r="P24" t="s">
        <v>89</v>
      </c>
    </row>
    <row r="25" spans="1:16" x14ac:dyDescent="0.25">
      <c r="A25" t="s">
        <v>142</v>
      </c>
      <c r="B25" t="s">
        <v>17</v>
      </c>
      <c r="C25" t="s">
        <v>18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J25" t="s">
        <v>148</v>
      </c>
      <c r="K25" t="s">
        <v>149</v>
      </c>
      <c r="L25" t="s">
        <v>122</v>
      </c>
      <c r="M25" t="s">
        <v>27</v>
      </c>
      <c r="N25" t="s">
        <v>74</v>
      </c>
      <c r="O25" t="s">
        <v>29</v>
      </c>
      <c r="P25" t="s">
        <v>150</v>
      </c>
    </row>
    <row r="26" spans="1:16" x14ac:dyDescent="0.25">
      <c r="A26" t="s">
        <v>142</v>
      </c>
      <c r="B26" t="s">
        <v>31</v>
      </c>
      <c r="C26" t="s">
        <v>18</v>
      </c>
      <c r="D26" t="s">
        <v>151</v>
      </c>
      <c r="E26" t="s">
        <v>144</v>
      </c>
      <c r="F26" t="s">
        <v>145</v>
      </c>
      <c r="G26" t="s">
        <v>146</v>
      </c>
      <c r="J26" t="s">
        <v>152</v>
      </c>
      <c r="K26" t="s">
        <v>149</v>
      </c>
      <c r="L26" t="s">
        <v>122</v>
      </c>
      <c r="M26" t="s">
        <v>27</v>
      </c>
      <c r="N26" t="s">
        <v>74</v>
      </c>
      <c r="O26" t="s">
        <v>29</v>
      </c>
      <c r="P26" t="s">
        <v>150</v>
      </c>
    </row>
    <row r="27" spans="1:16" x14ac:dyDescent="0.25">
      <c r="A27" t="s">
        <v>153</v>
      </c>
      <c r="B27" t="s">
        <v>17</v>
      </c>
      <c r="C27" t="s">
        <v>18</v>
      </c>
      <c r="D27" t="s">
        <v>154</v>
      </c>
      <c r="E27" t="s">
        <v>20</v>
      </c>
      <c r="F27" t="s">
        <v>53</v>
      </c>
      <c r="G27" t="s">
        <v>155</v>
      </c>
      <c r="H27" t="s">
        <v>156</v>
      </c>
      <c r="J27" t="s">
        <v>157</v>
      </c>
      <c r="K27" t="s">
        <v>25</v>
      </c>
      <c r="L27" t="s">
        <v>122</v>
      </c>
      <c r="M27" t="s">
        <v>27</v>
      </c>
      <c r="N27" t="s">
        <v>74</v>
      </c>
      <c r="O27" t="s">
        <v>29</v>
      </c>
      <c r="P27" t="s">
        <v>89</v>
      </c>
    </row>
    <row r="28" spans="1:16" x14ac:dyDescent="0.25">
      <c r="A28" t="s">
        <v>153</v>
      </c>
      <c r="B28" t="s">
        <v>31</v>
      </c>
      <c r="C28" t="s">
        <v>18</v>
      </c>
      <c r="D28" t="s">
        <v>158</v>
      </c>
      <c r="E28" t="s">
        <v>20</v>
      </c>
      <c r="F28" t="s">
        <v>53</v>
      </c>
      <c r="G28" t="s">
        <v>155</v>
      </c>
      <c r="J28" t="s">
        <v>157</v>
      </c>
      <c r="K28" t="s">
        <v>25</v>
      </c>
      <c r="L28" t="s">
        <v>122</v>
      </c>
      <c r="M28" t="s">
        <v>27</v>
      </c>
      <c r="N28" t="s">
        <v>74</v>
      </c>
      <c r="O28" t="s">
        <v>29</v>
      </c>
      <c r="P28" t="s">
        <v>89</v>
      </c>
    </row>
    <row r="29" spans="1:16" x14ac:dyDescent="0.25">
      <c r="A29" t="s">
        <v>159</v>
      </c>
      <c r="B29" t="s">
        <v>17</v>
      </c>
      <c r="C29" t="s">
        <v>18</v>
      </c>
      <c r="D29" t="s">
        <v>160</v>
      </c>
      <c r="E29" t="s">
        <v>20</v>
      </c>
      <c r="F29" t="s">
        <v>53</v>
      </c>
      <c r="G29" t="s">
        <v>161</v>
      </c>
      <c r="H29" t="s">
        <v>162</v>
      </c>
      <c r="J29" t="s">
        <v>163</v>
      </c>
      <c r="K29" t="s">
        <v>25</v>
      </c>
      <c r="L29" t="s">
        <v>122</v>
      </c>
      <c r="M29" t="s">
        <v>27</v>
      </c>
      <c r="N29" t="s">
        <v>74</v>
      </c>
      <c r="O29" t="s">
        <v>29</v>
      </c>
      <c r="P29" t="s">
        <v>89</v>
      </c>
    </row>
    <row r="30" spans="1:16" x14ac:dyDescent="0.25">
      <c r="A30" t="s">
        <v>159</v>
      </c>
      <c r="B30" t="s">
        <v>31</v>
      </c>
      <c r="C30" t="s">
        <v>18</v>
      </c>
      <c r="D30" t="s">
        <v>164</v>
      </c>
      <c r="E30" t="s">
        <v>20</v>
      </c>
      <c r="F30" t="s">
        <v>53</v>
      </c>
      <c r="G30" t="s">
        <v>161</v>
      </c>
      <c r="J30" t="s">
        <v>163</v>
      </c>
      <c r="K30" t="s">
        <v>25</v>
      </c>
      <c r="L30" t="s">
        <v>122</v>
      </c>
      <c r="M30" t="s">
        <v>27</v>
      </c>
      <c r="N30" t="s">
        <v>74</v>
      </c>
      <c r="O30" t="s">
        <v>29</v>
      </c>
      <c r="P30" t="s">
        <v>89</v>
      </c>
    </row>
    <row r="31" spans="1:16" x14ac:dyDescent="0.25">
      <c r="A31" t="s">
        <v>165</v>
      </c>
      <c r="B31" t="s">
        <v>17</v>
      </c>
      <c r="C31" t="s">
        <v>18</v>
      </c>
      <c r="D31" t="s">
        <v>166</v>
      </c>
      <c r="E31" t="s">
        <v>144</v>
      </c>
      <c r="F31" t="s">
        <v>53</v>
      </c>
      <c r="G31" t="s">
        <v>155</v>
      </c>
      <c r="H31" t="s">
        <v>167</v>
      </c>
      <c r="J31" t="s">
        <v>168</v>
      </c>
      <c r="K31" t="s">
        <v>149</v>
      </c>
      <c r="L31" t="s">
        <v>122</v>
      </c>
      <c r="M31" t="s">
        <v>27</v>
      </c>
      <c r="N31" t="s">
        <v>74</v>
      </c>
      <c r="O31" t="s">
        <v>29</v>
      </c>
      <c r="P31" t="s">
        <v>169</v>
      </c>
    </row>
    <row r="32" spans="1:16" x14ac:dyDescent="0.25">
      <c r="A32" t="s">
        <v>165</v>
      </c>
      <c r="B32" t="s">
        <v>31</v>
      </c>
      <c r="C32" t="s">
        <v>18</v>
      </c>
      <c r="D32" t="s">
        <v>170</v>
      </c>
      <c r="E32" t="s">
        <v>144</v>
      </c>
      <c r="F32" t="s">
        <v>53</v>
      </c>
      <c r="G32" t="s">
        <v>155</v>
      </c>
      <c r="J32" t="s">
        <v>171</v>
      </c>
      <c r="K32" t="s">
        <v>149</v>
      </c>
      <c r="L32" t="s">
        <v>122</v>
      </c>
      <c r="M32" t="s">
        <v>27</v>
      </c>
      <c r="N32" t="s">
        <v>74</v>
      </c>
      <c r="O32" t="s">
        <v>29</v>
      </c>
      <c r="P32" t="s">
        <v>169</v>
      </c>
    </row>
    <row r="33" spans="1:16" x14ac:dyDescent="0.25">
      <c r="A33" t="s">
        <v>172</v>
      </c>
      <c r="B33" t="s">
        <v>17</v>
      </c>
      <c r="C33" t="s">
        <v>18</v>
      </c>
      <c r="D33" t="s">
        <v>173</v>
      </c>
      <c r="E33" t="s">
        <v>144</v>
      </c>
      <c r="F33" t="s">
        <v>53</v>
      </c>
      <c r="G33" t="s">
        <v>161</v>
      </c>
      <c r="H33" t="s">
        <v>174</v>
      </c>
      <c r="J33" t="s">
        <v>175</v>
      </c>
      <c r="K33" t="s">
        <v>149</v>
      </c>
      <c r="L33" t="s">
        <v>122</v>
      </c>
      <c r="M33" t="s">
        <v>27</v>
      </c>
      <c r="N33" t="s">
        <v>74</v>
      </c>
      <c r="O33" t="s">
        <v>29</v>
      </c>
      <c r="P33" t="s">
        <v>89</v>
      </c>
    </row>
    <row r="34" spans="1:16" x14ac:dyDescent="0.25">
      <c r="A34" t="s">
        <v>172</v>
      </c>
      <c r="B34" t="s">
        <v>31</v>
      </c>
      <c r="C34" t="s">
        <v>18</v>
      </c>
      <c r="D34" t="s">
        <v>176</v>
      </c>
      <c r="E34" t="s">
        <v>144</v>
      </c>
      <c r="F34" t="s">
        <v>53</v>
      </c>
      <c r="G34" t="s">
        <v>161</v>
      </c>
      <c r="J34" t="s">
        <v>177</v>
      </c>
      <c r="K34" t="s">
        <v>149</v>
      </c>
      <c r="L34" t="s">
        <v>122</v>
      </c>
      <c r="M34" t="s">
        <v>27</v>
      </c>
      <c r="N34" t="s">
        <v>74</v>
      </c>
      <c r="O34" t="s">
        <v>29</v>
      </c>
      <c r="P34" t="s">
        <v>89</v>
      </c>
    </row>
    <row r="35" spans="1:16" x14ac:dyDescent="0.25">
      <c r="A35" t="s">
        <v>178</v>
      </c>
      <c r="B35" t="s">
        <v>17</v>
      </c>
      <c r="C35" t="s">
        <v>18</v>
      </c>
      <c r="D35" t="s">
        <v>179</v>
      </c>
      <c r="E35" t="s">
        <v>144</v>
      </c>
      <c r="F35" t="s">
        <v>35</v>
      </c>
      <c r="G35" t="s">
        <v>180</v>
      </c>
      <c r="H35" t="s">
        <v>181</v>
      </c>
      <c r="J35" t="s">
        <v>182</v>
      </c>
      <c r="K35" t="s">
        <v>149</v>
      </c>
      <c r="L35" t="s">
        <v>122</v>
      </c>
      <c r="M35" t="s">
        <v>27</v>
      </c>
      <c r="N35" t="s">
        <v>74</v>
      </c>
      <c r="O35" t="s">
        <v>29</v>
      </c>
      <c r="P35" t="s">
        <v>89</v>
      </c>
    </row>
    <row r="36" spans="1:16" x14ac:dyDescent="0.25">
      <c r="A36" t="s">
        <v>178</v>
      </c>
      <c r="B36" t="s">
        <v>31</v>
      </c>
      <c r="C36" t="s">
        <v>18</v>
      </c>
      <c r="D36" t="s">
        <v>183</v>
      </c>
      <c r="E36" t="s">
        <v>144</v>
      </c>
      <c r="F36" t="s">
        <v>35</v>
      </c>
      <c r="G36" t="s">
        <v>180</v>
      </c>
      <c r="J36" t="s">
        <v>184</v>
      </c>
      <c r="K36" t="s">
        <v>149</v>
      </c>
      <c r="L36" t="s">
        <v>122</v>
      </c>
      <c r="M36" t="s">
        <v>27</v>
      </c>
      <c r="N36" t="s">
        <v>74</v>
      </c>
      <c r="O36" t="s">
        <v>29</v>
      </c>
      <c r="P36" t="s">
        <v>89</v>
      </c>
    </row>
    <row r="37" spans="1:16" x14ac:dyDescent="0.25">
      <c r="A37" t="s">
        <v>185</v>
      </c>
      <c r="B37" t="s">
        <v>17</v>
      </c>
      <c r="C37" t="s">
        <v>18</v>
      </c>
      <c r="D37" t="s">
        <v>186</v>
      </c>
      <c r="E37" t="s">
        <v>187</v>
      </c>
      <c r="F37" t="s">
        <v>35</v>
      </c>
      <c r="G37" t="s">
        <v>188</v>
      </c>
      <c r="H37" t="s">
        <v>189</v>
      </c>
      <c r="J37" t="s">
        <v>190</v>
      </c>
      <c r="K37" t="s">
        <v>149</v>
      </c>
      <c r="L37" t="s">
        <v>122</v>
      </c>
      <c r="M37" t="s">
        <v>27</v>
      </c>
      <c r="N37" t="s">
        <v>74</v>
      </c>
      <c r="O37" t="s">
        <v>29</v>
      </c>
      <c r="P37" t="s">
        <v>89</v>
      </c>
    </row>
    <row r="38" spans="1:16" x14ac:dyDescent="0.25">
      <c r="A38" t="s">
        <v>185</v>
      </c>
      <c r="B38" t="s">
        <v>31</v>
      </c>
      <c r="C38" t="s">
        <v>18</v>
      </c>
      <c r="D38" t="s">
        <v>191</v>
      </c>
      <c r="E38" t="s">
        <v>187</v>
      </c>
      <c r="F38" t="s">
        <v>35</v>
      </c>
      <c r="G38" t="s">
        <v>188</v>
      </c>
      <c r="J38" t="s">
        <v>192</v>
      </c>
      <c r="K38" t="s">
        <v>149</v>
      </c>
      <c r="L38" t="s">
        <v>122</v>
      </c>
      <c r="M38" t="s">
        <v>27</v>
      </c>
      <c r="N38" t="s">
        <v>74</v>
      </c>
      <c r="O38" t="s">
        <v>29</v>
      </c>
      <c r="P38" t="s">
        <v>89</v>
      </c>
    </row>
    <row r="39" spans="1:16" x14ac:dyDescent="0.25">
      <c r="A39" t="s">
        <v>193</v>
      </c>
      <c r="B39" t="s">
        <v>51</v>
      </c>
      <c r="C39" t="s">
        <v>18</v>
      </c>
      <c r="D39" t="s">
        <v>194</v>
      </c>
      <c r="E39" t="s">
        <v>144</v>
      </c>
      <c r="F39" t="s">
        <v>21</v>
      </c>
      <c r="G39" t="s">
        <v>195</v>
      </c>
      <c r="H39" t="s">
        <v>196</v>
      </c>
      <c r="J39" t="s">
        <v>197</v>
      </c>
      <c r="K39" t="s">
        <v>149</v>
      </c>
      <c r="L39" t="s">
        <v>122</v>
      </c>
      <c r="M39" t="s">
        <v>27</v>
      </c>
      <c r="N39" t="s">
        <v>74</v>
      </c>
      <c r="O39" t="s">
        <v>29</v>
      </c>
      <c r="P39" t="s">
        <v>198</v>
      </c>
    </row>
    <row r="40" spans="1:16" x14ac:dyDescent="0.25">
      <c r="A40" t="s">
        <v>199</v>
      </c>
      <c r="B40" t="s">
        <v>17</v>
      </c>
      <c r="C40" t="s">
        <v>18</v>
      </c>
      <c r="D40" t="s">
        <v>200</v>
      </c>
      <c r="E40" t="s">
        <v>201</v>
      </c>
      <c r="F40" t="s">
        <v>35</v>
      </c>
      <c r="G40" t="s">
        <v>202</v>
      </c>
      <c r="H40" t="s">
        <v>203</v>
      </c>
      <c r="J40" t="s">
        <v>204</v>
      </c>
      <c r="K40" t="s">
        <v>149</v>
      </c>
      <c r="L40" t="s">
        <v>205</v>
      </c>
      <c r="M40" t="s">
        <v>27</v>
      </c>
      <c r="N40" t="s">
        <v>74</v>
      </c>
      <c r="O40" t="s">
        <v>29</v>
      </c>
      <c r="P40" t="s">
        <v>89</v>
      </c>
    </row>
    <row r="41" spans="1:16" x14ac:dyDescent="0.25">
      <c r="A41" t="s">
        <v>199</v>
      </c>
      <c r="B41" t="s">
        <v>31</v>
      </c>
      <c r="C41" t="s">
        <v>18</v>
      </c>
      <c r="D41" t="s">
        <v>206</v>
      </c>
      <c r="E41" t="s">
        <v>201</v>
      </c>
      <c r="F41" t="s">
        <v>35</v>
      </c>
      <c r="G41" t="s">
        <v>202</v>
      </c>
      <c r="J41" t="s">
        <v>207</v>
      </c>
      <c r="K41" t="s">
        <v>149</v>
      </c>
      <c r="L41" t="s">
        <v>205</v>
      </c>
      <c r="M41" t="s">
        <v>27</v>
      </c>
      <c r="N41" t="s">
        <v>74</v>
      </c>
      <c r="O41" t="s">
        <v>29</v>
      </c>
      <c r="P41" t="s">
        <v>89</v>
      </c>
    </row>
    <row r="42" spans="1:16" x14ac:dyDescent="0.25">
      <c r="A42" t="s">
        <v>208</v>
      </c>
      <c r="B42" t="s">
        <v>17</v>
      </c>
      <c r="C42" t="s">
        <v>18</v>
      </c>
      <c r="D42" t="s">
        <v>209</v>
      </c>
      <c r="E42" t="s">
        <v>201</v>
      </c>
      <c r="F42" t="s">
        <v>35</v>
      </c>
      <c r="G42" t="s">
        <v>210</v>
      </c>
      <c r="H42" t="s">
        <v>211</v>
      </c>
      <c r="J42" t="s">
        <v>204</v>
      </c>
      <c r="K42" t="s">
        <v>149</v>
      </c>
      <c r="L42" t="s">
        <v>212</v>
      </c>
      <c r="M42" t="s">
        <v>27</v>
      </c>
      <c r="N42" t="s">
        <v>74</v>
      </c>
      <c r="O42" t="s">
        <v>29</v>
      </c>
      <c r="P42" t="s">
        <v>89</v>
      </c>
    </row>
    <row r="43" spans="1:16" x14ac:dyDescent="0.25">
      <c r="A43" t="s">
        <v>208</v>
      </c>
      <c r="B43" t="s">
        <v>31</v>
      </c>
      <c r="C43" t="s">
        <v>18</v>
      </c>
      <c r="D43" t="s">
        <v>213</v>
      </c>
      <c r="E43" t="s">
        <v>201</v>
      </c>
      <c r="F43" t="s">
        <v>35</v>
      </c>
      <c r="G43" t="s">
        <v>210</v>
      </c>
      <c r="J43" t="s">
        <v>207</v>
      </c>
      <c r="K43" t="s">
        <v>149</v>
      </c>
      <c r="L43" t="s">
        <v>214</v>
      </c>
      <c r="M43" t="s">
        <v>27</v>
      </c>
      <c r="N43" t="s">
        <v>74</v>
      </c>
      <c r="O43" t="s">
        <v>29</v>
      </c>
      <c r="P43" t="s">
        <v>89</v>
      </c>
    </row>
    <row r="44" spans="1:16" x14ac:dyDescent="0.25">
      <c r="A44" t="s">
        <v>215</v>
      </c>
      <c r="B44" t="s">
        <v>17</v>
      </c>
      <c r="C44" t="s">
        <v>18</v>
      </c>
      <c r="D44" t="s">
        <v>216</v>
      </c>
      <c r="E44" t="s">
        <v>201</v>
      </c>
      <c r="F44" t="s">
        <v>35</v>
      </c>
      <c r="G44" t="s">
        <v>210</v>
      </c>
      <c r="H44" t="s">
        <v>217</v>
      </c>
      <c r="J44" t="s">
        <v>218</v>
      </c>
      <c r="K44" t="s">
        <v>149</v>
      </c>
      <c r="L44" t="s">
        <v>212</v>
      </c>
      <c r="M44" t="s">
        <v>27</v>
      </c>
      <c r="N44" t="s">
        <v>74</v>
      </c>
      <c r="O44" t="s">
        <v>29</v>
      </c>
      <c r="P44" t="s">
        <v>89</v>
      </c>
    </row>
    <row r="45" spans="1:16" x14ac:dyDescent="0.25">
      <c r="A45" t="s">
        <v>215</v>
      </c>
      <c r="B45" t="s">
        <v>31</v>
      </c>
      <c r="C45" t="s">
        <v>18</v>
      </c>
      <c r="D45" t="s">
        <v>219</v>
      </c>
      <c r="E45" t="s">
        <v>201</v>
      </c>
      <c r="F45" t="s">
        <v>35</v>
      </c>
      <c r="G45" t="s">
        <v>210</v>
      </c>
      <c r="J45" t="s">
        <v>220</v>
      </c>
      <c r="K45" t="s">
        <v>149</v>
      </c>
      <c r="L45" t="s">
        <v>214</v>
      </c>
      <c r="M45" t="s">
        <v>27</v>
      </c>
      <c r="N45" t="s">
        <v>74</v>
      </c>
      <c r="O45" t="s">
        <v>29</v>
      </c>
      <c r="P45" t="s">
        <v>89</v>
      </c>
    </row>
    <row r="46" spans="1:16" x14ac:dyDescent="0.25">
      <c r="A46" t="s">
        <v>221</v>
      </c>
      <c r="B46" t="s">
        <v>17</v>
      </c>
      <c r="C46" t="s">
        <v>18</v>
      </c>
      <c r="D46" t="s">
        <v>222</v>
      </c>
      <c r="E46" t="s">
        <v>201</v>
      </c>
      <c r="F46" t="s">
        <v>35</v>
      </c>
      <c r="G46" t="s">
        <v>223</v>
      </c>
      <c r="H46" t="s">
        <v>224</v>
      </c>
      <c r="J46" t="s">
        <v>225</v>
      </c>
      <c r="K46" t="s">
        <v>149</v>
      </c>
      <c r="L46" t="s">
        <v>226</v>
      </c>
      <c r="M46" t="s">
        <v>27</v>
      </c>
      <c r="N46" t="s">
        <v>74</v>
      </c>
      <c r="O46" t="s">
        <v>29</v>
      </c>
      <c r="P46" t="s">
        <v>89</v>
      </c>
    </row>
    <row r="47" spans="1:16" x14ac:dyDescent="0.25">
      <c r="A47" t="s">
        <v>221</v>
      </c>
      <c r="B47" t="s">
        <v>31</v>
      </c>
      <c r="C47" t="s">
        <v>18</v>
      </c>
      <c r="D47" t="s">
        <v>227</v>
      </c>
      <c r="E47" t="s">
        <v>201</v>
      </c>
      <c r="F47" t="s">
        <v>35</v>
      </c>
      <c r="G47" t="s">
        <v>223</v>
      </c>
      <c r="J47" t="s">
        <v>218</v>
      </c>
      <c r="K47" t="s">
        <v>149</v>
      </c>
      <c r="L47" t="s">
        <v>212</v>
      </c>
      <c r="M47" t="s">
        <v>27</v>
      </c>
      <c r="N47" t="s">
        <v>74</v>
      </c>
      <c r="O47" t="s">
        <v>29</v>
      </c>
      <c r="P47" t="s">
        <v>89</v>
      </c>
    </row>
    <row r="48" spans="1:16" x14ac:dyDescent="0.25">
      <c r="A48" t="s">
        <v>228</v>
      </c>
      <c r="B48" t="s">
        <v>17</v>
      </c>
      <c r="C48" t="s">
        <v>18</v>
      </c>
      <c r="D48" t="s">
        <v>229</v>
      </c>
      <c r="E48" t="s">
        <v>201</v>
      </c>
      <c r="F48" t="s">
        <v>35</v>
      </c>
      <c r="G48" t="s">
        <v>223</v>
      </c>
      <c r="H48" t="s">
        <v>230</v>
      </c>
      <c r="J48" t="s">
        <v>225</v>
      </c>
      <c r="K48" t="s">
        <v>149</v>
      </c>
      <c r="L48" t="s">
        <v>212</v>
      </c>
      <c r="M48" t="s">
        <v>27</v>
      </c>
      <c r="N48" t="s">
        <v>74</v>
      </c>
      <c r="O48" t="s">
        <v>29</v>
      </c>
      <c r="P48" t="s">
        <v>89</v>
      </c>
    </row>
    <row r="49" spans="1:16" x14ac:dyDescent="0.25">
      <c r="A49" t="s">
        <v>228</v>
      </c>
      <c r="B49" t="s">
        <v>31</v>
      </c>
      <c r="C49" t="s">
        <v>18</v>
      </c>
      <c r="D49" t="s">
        <v>231</v>
      </c>
      <c r="E49" t="s">
        <v>201</v>
      </c>
      <c r="F49" t="s">
        <v>35</v>
      </c>
      <c r="G49" t="s">
        <v>223</v>
      </c>
      <c r="J49" t="s">
        <v>232</v>
      </c>
      <c r="K49" t="s">
        <v>149</v>
      </c>
      <c r="L49" t="s">
        <v>214</v>
      </c>
      <c r="M49" t="s">
        <v>27</v>
      </c>
      <c r="N49" t="s">
        <v>74</v>
      </c>
      <c r="O49" t="s">
        <v>29</v>
      </c>
      <c r="P49" t="s">
        <v>89</v>
      </c>
    </row>
    <row r="50" spans="1:16" x14ac:dyDescent="0.25">
      <c r="A50" t="s">
        <v>233</v>
      </c>
      <c r="B50" t="s">
        <v>17</v>
      </c>
      <c r="C50" t="s">
        <v>18</v>
      </c>
      <c r="D50" t="s">
        <v>234</v>
      </c>
      <c r="E50" t="s">
        <v>201</v>
      </c>
      <c r="F50" t="s">
        <v>35</v>
      </c>
      <c r="G50" t="s">
        <v>235</v>
      </c>
      <c r="H50" t="s">
        <v>236</v>
      </c>
      <c r="J50" t="s">
        <v>237</v>
      </c>
      <c r="K50" t="s">
        <v>149</v>
      </c>
      <c r="L50" t="s">
        <v>238</v>
      </c>
      <c r="M50" t="s">
        <v>27</v>
      </c>
      <c r="N50" t="s">
        <v>74</v>
      </c>
      <c r="O50" t="s">
        <v>29</v>
      </c>
      <c r="P50" t="s">
        <v>89</v>
      </c>
    </row>
    <row r="51" spans="1:16" x14ac:dyDescent="0.25">
      <c r="A51" t="s">
        <v>233</v>
      </c>
      <c r="B51" t="s">
        <v>31</v>
      </c>
      <c r="C51" t="s">
        <v>18</v>
      </c>
      <c r="D51" t="s">
        <v>239</v>
      </c>
      <c r="E51" t="s">
        <v>201</v>
      </c>
      <c r="F51" t="s">
        <v>35</v>
      </c>
      <c r="G51" t="s">
        <v>235</v>
      </c>
      <c r="J51" t="s">
        <v>240</v>
      </c>
      <c r="K51" t="s">
        <v>149</v>
      </c>
      <c r="L51" t="s">
        <v>238</v>
      </c>
      <c r="M51" t="s">
        <v>27</v>
      </c>
      <c r="N51" t="s">
        <v>74</v>
      </c>
      <c r="O51" t="s">
        <v>29</v>
      </c>
      <c r="P51" t="s">
        <v>89</v>
      </c>
    </row>
    <row r="52" spans="1:16" x14ac:dyDescent="0.25">
      <c r="A52" t="s">
        <v>241</v>
      </c>
      <c r="B52" t="s">
        <v>17</v>
      </c>
      <c r="C52" t="s">
        <v>18</v>
      </c>
      <c r="D52" t="s">
        <v>242</v>
      </c>
      <c r="E52" t="s">
        <v>201</v>
      </c>
      <c r="F52" t="s">
        <v>35</v>
      </c>
      <c r="G52" t="s">
        <v>235</v>
      </c>
      <c r="H52" t="s">
        <v>243</v>
      </c>
      <c r="J52" t="s">
        <v>218</v>
      </c>
      <c r="K52" t="s">
        <v>149</v>
      </c>
      <c r="L52" t="s">
        <v>244</v>
      </c>
      <c r="M52" t="s">
        <v>27</v>
      </c>
      <c r="N52" t="s">
        <v>74</v>
      </c>
      <c r="O52" t="s">
        <v>29</v>
      </c>
      <c r="P52" t="s">
        <v>89</v>
      </c>
    </row>
    <row r="53" spans="1:16" x14ac:dyDescent="0.25">
      <c r="A53" t="s">
        <v>241</v>
      </c>
      <c r="B53" t="s">
        <v>31</v>
      </c>
      <c r="C53" t="s">
        <v>18</v>
      </c>
      <c r="D53" t="s">
        <v>245</v>
      </c>
      <c r="E53" t="s">
        <v>201</v>
      </c>
      <c r="F53" t="s">
        <v>35</v>
      </c>
      <c r="G53" t="s">
        <v>235</v>
      </c>
      <c r="J53" t="s">
        <v>220</v>
      </c>
      <c r="K53" t="s">
        <v>149</v>
      </c>
      <c r="L53" t="s">
        <v>68</v>
      </c>
      <c r="M53" t="s">
        <v>27</v>
      </c>
      <c r="N53" t="s">
        <v>74</v>
      </c>
      <c r="O53" t="s">
        <v>29</v>
      </c>
      <c r="P53" t="s">
        <v>89</v>
      </c>
    </row>
    <row r="54" spans="1:16" x14ac:dyDescent="0.25">
      <c r="A54" t="s">
        <v>246</v>
      </c>
      <c r="B54" t="s">
        <v>17</v>
      </c>
      <c r="C54" t="s">
        <v>18</v>
      </c>
      <c r="D54" t="s">
        <v>247</v>
      </c>
      <c r="E54" t="s">
        <v>201</v>
      </c>
      <c r="F54" t="s">
        <v>35</v>
      </c>
      <c r="G54" t="s">
        <v>202</v>
      </c>
      <c r="H54" t="s">
        <v>248</v>
      </c>
      <c r="J54" t="s">
        <v>249</v>
      </c>
      <c r="K54" t="s">
        <v>149</v>
      </c>
      <c r="L54" t="s">
        <v>250</v>
      </c>
      <c r="M54" t="s">
        <v>27</v>
      </c>
      <c r="N54" t="s">
        <v>74</v>
      </c>
      <c r="O54" t="s">
        <v>29</v>
      </c>
      <c r="P54" t="s">
        <v>89</v>
      </c>
    </row>
    <row r="55" spans="1:16" x14ac:dyDescent="0.25">
      <c r="A55" t="s">
        <v>246</v>
      </c>
      <c r="B55" t="s">
        <v>31</v>
      </c>
      <c r="C55" t="s">
        <v>18</v>
      </c>
      <c r="D55" t="s">
        <v>251</v>
      </c>
      <c r="E55" t="s">
        <v>201</v>
      </c>
      <c r="F55" t="s">
        <v>35</v>
      </c>
      <c r="G55" t="s">
        <v>202</v>
      </c>
      <c r="J55" t="s">
        <v>207</v>
      </c>
      <c r="K55" t="s">
        <v>149</v>
      </c>
      <c r="L55" t="s">
        <v>250</v>
      </c>
      <c r="M55" t="s">
        <v>27</v>
      </c>
      <c r="N55" t="s">
        <v>74</v>
      </c>
      <c r="O55" t="s">
        <v>29</v>
      </c>
      <c r="P55" t="s">
        <v>89</v>
      </c>
    </row>
    <row r="56" spans="1:16" x14ac:dyDescent="0.25">
      <c r="A56" t="s">
        <v>252</v>
      </c>
      <c r="B56" t="s">
        <v>17</v>
      </c>
      <c r="C56" t="s">
        <v>18</v>
      </c>
      <c r="D56" t="s">
        <v>253</v>
      </c>
      <c r="E56" t="s">
        <v>144</v>
      </c>
      <c r="F56" t="s">
        <v>35</v>
      </c>
      <c r="G56" t="s">
        <v>254</v>
      </c>
      <c r="H56" t="s">
        <v>255</v>
      </c>
      <c r="J56" t="s">
        <v>256</v>
      </c>
      <c r="K56" t="s">
        <v>149</v>
      </c>
      <c r="L56" t="s">
        <v>122</v>
      </c>
      <c r="M56" t="s">
        <v>27</v>
      </c>
      <c r="N56" t="s">
        <v>74</v>
      </c>
      <c r="O56" t="s">
        <v>29</v>
      </c>
      <c r="P56" t="s">
        <v>89</v>
      </c>
    </row>
    <row r="57" spans="1:16" x14ac:dyDescent="0.25">
      <c r="A57" t="s">
        <v>252</v>
      </c>
      <c r="B57" t="s">
        <v>31</v>
      </c>
      <c r="C57" t="s">
        <v>18</v>
      </c>
      <c r="D57" t="s">
        <v>257</v>
      </c>
      <c r="E57" t="s">
        <v>144</v>
      </c>
      <c r="F57" t="s">
        <v>35</v>
      </c>
      <c r="G57" t="s">
        <v>254</v>
      </c>
      <c r="J57" t="s">
        <v>258</v>
      </c>
      <c r="K57" t="s">
        <v>149</v>
      </c>
      <c r="L57" t="s">
        <v>122</v>
      </c>
      <c r="M57" t="s">
        <v>27</v>
      </c>
      <c r="N57" t="s">
        <v>74</v>
      </c>
      <c r="O57" t="s">
        <v>29</v>
      </c>
      <c r="P57" t="s">
        <v>89</v>
      </c>
    </row>
    <row r="58" spans="1:16" x14ac:dyDescent="0.25">
      <c r="A58" t="s">
        <v>259</v>
      </c>
      <c r="B58" t="s">
        <v>17</v>
      </c>
      <c r="C58" t="s">
        <v>18</v>
      </c>
      <c r="D58" t="s">
        <v>260</v>
      </c>
      <c r="E58" t="s">
        <v>201</v>
      </c>
      <c r="F58" t="s">
        <v>35</v>
      </c>
      <c r="G58" t="s">
        <v>261</v>
      </c>
      <c r="H58" t="s">
        <v>262</v>
      </c>
      <c r="J58" t="s">
        <v>263</v>
      </c>
      <c r="K58" t="s">
        <v>149</v>
      </c>
      <c r="L58" t="s">
        <v>122</v>
      </c>
      <c r="M58" t="s">
        <v>27</v>
      </c>
      <c r="N58" t="s">
        <v>74</v>
      </c>
      <c r="O58" t="s">
        <v>29</v>
      </c>
      <c r="P58" t="s">
        <v>89</v>
      </c>
    </row>
    <row r="59" spans="1:16" x14ac:dyDescent="0.25">
      <c r="A59" t="s">
        <v>259</v>
      </c>
      <c r="B59" t="s">
        <v>31</v>
      </c>
      <c r="C59" t="s">
        <v>18</v>
      </c>
      <c r="D59" t="s">
        <v>264</v>
      </c>
      <c r="E59" t="s">
        <v>201</v>
      </c>
      <c r="F59" t="s">
        <v>35</v>
      </c>
      <c r="G59" t="s">
        <v>261</v>
      </c>
      <c r="J59" t="s">
        <v>232</v>
      </c>
      <c r="K59" t="s">
        <v>149</v>
      </c>
      <c r="L59" t="s">
        <v>122</v>
      </c>
      <c r="M59" t="s">
        <v>27</v>
      </c>
      <c r="N59" t="s">
        <v>74</v>
      </c>
      <c r="O59" t="s">
        <v>29</v>
      </c>
      <c r="P59" t="s">
        <v>89</v>
      </c>
    </row>
    <row r="60" spans="1:16" x14ac:dyDescent="0.25">
      <c r="A60" t="s">
        <v>265</v>
      </c>
      <c r="B60" t="s">
        <v>17</v>
      </c>
      <c r="C60" t="s">
        <v>18</v>
      </c>
      <c r="D60" t="s">
        <v>266</v>
      </c>
      <c r="E60" t="s">
        <v>201</v>
      </c>
      <c r="F60" t="s">
        <v>35</v>
      </c>
      <c r="G60" t="s">
        <v>267</v>
      </c>
      <c r="H60" t="s">
        <v>268</v>
      </c>
      <c r="J60" t="s">
        <v>263</v>
      </c>
      <c r="K60" t="s">
        <v>149</v>
      </c>
      <c r="L60" t="s">
        <v>122</v>
      </c>
      <c r="M60" t="s">
        <v>27</v>
      </c>
      <c r="N60" t="s">
        <v>74</v>
      </c>
      <c r="O60" t="s">
        <v>29</v>
      </c>
      <c r="P60" t="s">
        <v>89</v>
      </c>
    </row>
    <row r="61" spans="1:16" x14ac:dyDescent="0.25">
      <c r="A61" t="s">
        <v>265</v>
      </c>
      <c r="B61" t="s">
        <v>31</v>
      </c>
      <c r="C61" t="s">
        <v>18</v>
      </c>
      <c r="D61" t="s">
        <v>269</v>
      </c>
      <c r="E61" t="s">
        <v>201</v>
      </c>
      <c r="F61" t="s">
        <v>35</v>
      </c>
      <c r="G61" t="s">
        <v>267</v>
      </c>
      <c r="J61" t="s">
        <v>232</v>
      </c>
      <c r="K61" t="s">
        <v>149</v>
      </c>
      <c r="L61" t="s">
        <v>122</v>
      </c>
      <c r="M61" t="s">
        <v>27</v>
      </c>
      <c r="N61" t="s">
        <v>74</v>
      </c>
      <c r="O61" t="s">
        <v>29</v>
      </c>
      <c r="P61" t="s">
        <v>89</v>
      </c>
    </row>
    <row r="62" spans="1:16" x14ac:dyDescent="0.25">
      <c r="A62" t="s">
        <v>270</v>
      </c>
      <c r="B62" t="s">
        <v>17</v>
      </c>
      <c r="C62" t="s">
        <v>18</v>
      </c>
      <c r="D62" t="s">
        <v>271</v>
      </c>
      <c r="E62" t="s">
        <v>201</v>
      </c>
      <c r="F62" t="s">
        <v>35</v>
      </c>
      <c r="G62" t="s">
        <v>210</v>
      </c>
      <c r="H62" t="s">
        <v>272</v>
      </c>
      <c r="J62" t="s">
        <v>249</v>
      </c>
      <c r="K62" t="s">
        <v>149</v>
      </c>
      <c r="L62" t="s">
        <v>273</v>
      </c>
      <c r="M62" t="s">
        <v>27</v>
      </c>
      <c r="N62" t="s">
        <v>74</v>
      </c>
      <c r="O62" t="s">
        <v>29</v>
      </c>
      <c r="P62" t="s">
        <v>89</v>
      </c>
    </row>
    <row r="63" spans="1:16" x14ac:dyDescent="0.25">
      <c r="A63" t="s">
        <v>270</v>
      </c>
      <c r="B63" t="s">
        <v>31</v>
      </c>
      <c r="C63" t="s">
        <v>18</v>
      </c>
      <c r="D63" t="s">
        <v>274</v>
      </c>
      <c r="E63" t="s">
        <v>201</v>
      </c>
      <c r="F63" t="s">
        <v>35</v>
      </c>
      <c r="G63" t="s">
        <v>210</v>
      </c>
      <c r="J63" t="s">
        <v>275</v>
      </c>
      <c r="K63" t="s">
        <v>149</v>
      </c>
      <c r="L63" t="s">
        <v>273</v>
      </c>
      <c r="M63" t="s">
        <v>27</v>
      </c>
      <c r="N63" t="s">
        <v>74</v>
      </c>
      <c r="O63" t="s">
        <v>29</v>
      </c>
      <c r="P63" t="s">
        <v>89</v>
      </c>
    </row>
    <row r="64" spans="1:16" x14ac:dyDescent="0.25">
      <c r="A64" t="s">
        <v>276</v>
      </c>
      <c r="B64" t="s">
        <v>17</v>
      </c>
      <c r="C64" t="s">
        <v>18</v>
      </c>
      <c r="D64" t="s">
        <v>277</v>
      </c>
      <c r="E64" t="s">
        <v>201</v>
      </c>
      <c r="F64" t="s">
        <v>35</v>
      </c>
      <c r="G64" t="s">
        <v>223</v>
      </c>
      <c r="H64" t="s">
        <v>278</v>
      </c>
      <c r="J64" t="s">
        <v>279</v>
      </c>
      <c r="K64" t="s">
        <v>149</v>
      </c>
      <c r="L64" t="s">
        <v>280</v>
      </c>
      <c r="M64" t="s">
        <v>27</v>
      </c>
      <c r="N64" t="s">
        <v>74</v>
      </c>
      <c r="O64" t="s">
        <v>29</v>
      </c>
      <c r="P64" t="s">
        <v>89</v>
      </c>
    </row>
    <row r="65" spans="1:16" x14ac:dyDescent="0.25">
      <c r="A65" t="s">
        <v>276</v>
      </c>
      <c r="B65" t="s">
        <v>31</v>
      </c>
      <c r="C65" t="s">
        <v>18</v>
      </c>
      <c r="D65" t="s">
        <v>281</v>
      </c>
      <c r="E65" t="s">
        <v>201</v>
      </c>
      <c r="F65" t="s">
        <v>35</v>
      </c>
      <c r="G65" t="s">
        <v>223</v>
      </c>
      <c r="J65" t="s">
        <v>282</v>
      </c>
      <c r="K65" t="s">
        <v>149</v>
      </c>
      <c r="L65" t="s">
        <v>280</v>
      </c>
      <c r="M65" t="s">
        <v>27</v>
      </c>
      <c r="N65" t="s">
        <v>74</v>
      </c>
      <c r="O65" t="s">
        <v>29</v>
      </c>
      <c r="P65" t="s">
        <v>89</v>
      </c>
    </row>
    <row r="66" spans="1:16" x14ac:dyDescent="0.25">
      <c r="A66" t="s">
        <v>283</v>
      </c>
      <c r="B66" t="s">
        <v>17</v>
      </c>
      <c r="C66" t="s">
        <v>18</v>
      </c>
      <c r="D66" t="s">
        <v>284</v>
      </c>
      <c r="E66" t="s">
        <v>201</v>
      </c>
      <c r="F66" t="s">
        <v>35</v>
      </c>
      <c r="G66" t="s">
        <v>285</v>
      </c>
      <c r="H66" t="s">
        <v>286</v>
      </c>
      <c r="J66" t="s">
        <v>287</v>
      </c>
      <c r="K66" t="s">
        <v>149</v>
      </c>
      <c r="L66" t="s">
        <v>122</v>
      </c>
      <c r="M66" t="s">
        <v>27</v>
      </c>
      <c r="N66" t="s">
        <v>74</v>
      </c>
      <c r="O66" t="s">
        <v>29</v>
      </c>
      <c r="P66" t="s">
        <v>89</v>
      </c>
    </row>
    <row r="67" spans="1:16" x14ac:dyDescent="0.25">
      <c r="A67" t="s">
        <v>283</v>
      </c>
      <c r="B67" t="s">
        <v>31</v>
      </c>
      <c r="C67" t="s">
        <v>18</v>
      </c>
      <c r="D67" t="s">
        <v>288</v>
      </c>
      <c r="E67" t="s">
        <v>201</v>
      </c>
      <c r="F67" t="s">
        <v>35</v>
      </c>
      <c r="G67" t="s">
        <v>285</v>
      </c>
      <c r="J67" t="s">
        <v>289</v>
      </c>
      <c r="K67" t="s">
        <v>149</v>
      </c>
      <c r="L67" t="s">
        <v>122</v>
      </c>
      <c r="M67" t="s">
        <v>27</v>
      </c>
      <c r="N67" t="s">
        <v>74</v>
      </c>
      <c r="O67" t="s">
        <v>29</v>
      </c>
      <c r="P67" t="s">
        <v>89</v>
      </c>
    </row>
    <row r="68" spans="1:16" x14ac:dyDescent="0.25">
      <c r="A68" t="s">
        <v>290</v>
      </c>
      <c r="B68" t="s">
        <v>17</v>
      </c>
      <c r="C68" t="s">
        <v>18</v>
      </c>
      <c r="D68" t="s">
        <v>291</v>
      </c>
      <c r="E68" t="s">
        <v>201</v>
      </c>
      <c r="F68" t="s">
        <v>35</v>
      </c>
      <c r="G68" t="s">
        <v>292</v>
      </c>
      <c r="H68" t="s">
        <v>293</v>
      </c>
      <c r="J68" t="s">
        <v>287</v>
      </c>
      <c r="K68" t="s">
        <v>149</v>
      </c>
      <c r="L68" t="s">
        <v>122</v>
      </c>
      <c r="M68" t="s">
        <v>27</v>
      </c>
      <c r="N68" t="s">
        <v>74</v>
      </c>
      <c r="O68" t="s">
        <v>29</v>
      </c>
      <c r="P68" t="s">
        <v>89</v>
      </c>
    </row>
    <row r="69" spans="1:16" x14ac:dyDescent="0.25">
      <c r="A69" t="s">
        <v>290</v>
      </c>
      <c r="B69" t="s">
        <v>31</v>
      </c>
      <c r="C69" t="s">
        <v>18</v>
      </c>
      <c r="D69" t="s">
        <v>294</v>
      </c>
      <c r="E69" t="s">
        <v>201</v>
      </c>
      <c r="F69" t="s">
        <v>35</v>
      </c>
      <c r="G69" t="s">
        <v>292</v>
      </c>
      <c r="J69" t="s">
        <v>289</v>
      </c>
      <c r="K69" t="s">
        <v>149</v>
      </c>
      <c r="L69" t="s">
        <v>122</v>
      </c>
      <c r="M69" t="s">
        <v>27</v>
      </c>
      <c r="N69" t="s">
        <v>74</v>
      </c>
      <c r="O69" t="s">
        <v>29</v>
      </c>
      <c r="P69" t="s">
        <v>89</v>
      </c>
    </row>
    <row r="70" spans="1:16" x14ac:dyDescent="0.25">
      <c r="A70" t="s">
        <v>295</v>
      </c>
      <c r="B70" t="s">
        <v>17</v>
      </c>
      <c r="C70" t="s">
        <v>18</v>
      </c>
      <c r="D70" t="s">
        <v>296</v>
      </c>
      <c r="E70" t="s">
        <v>201</v>
      </c>
      <c r="F70" t="s">
        <v>35</v>
      </c>
      <c r="G70" t="s">
        <v>297</v>
      </c>
      <c r="H70" t="s">
        <v>298</v>
      </c>
      <c r="J70" t="s">
        <v>237</v>
      </c>
      <c r="K70" t="s">
        <v>149</v>
      </c>
      <c r="L70" t="s">
        <v>299</v>
      </c>
      <c r="M70" t="s">
        <v>27</v>
      </c>
      <c r="N70" t="s">
        <v>74</v>
      </c>
      <c r="O70" t="s">
        <v>29</v>
      </c>
      <c r="P70" t="s">
        <v>89</v>
      </c>
    </row>
    <row r="71" spans="1:16" x14ac:dyDescent="0.25">
      <c r="A71" t="s">
        <v>295</v>
      </c>
      <c r="B71" t="s">
        <v>31</v>
      </c>
      <c r="C71" t="s">
        <v>18</v>
      </c>
      <c r="D71" t="s">
        <v>300</v>
      </c>
      <c r="E71" t="s">
        <v>201</v>
      </c>
      <c r="F71" t="s">
        <v>35</v>
      </c>
      <c r="G71" t="s">
        <v>297</v>
      </c>
      <c r="J71" t="s">
        <v>301</v>
      </c>
      <c r="K71" t="s">
        <v>149</v>
      </c>
      <c r="L71" t="s">
        <v>273</v>
      </c>
      <c r="M71" t="s">
        <v>27</v>
      </c>
      <c r="N71" t="s">
        <v>74</v>
      </c>
      <c r="O71" t="s">
        <v>29</v>
      </c>
      <c r="P71" t="s">
        <v>89</v>
      </c>
    </row>
    <row r="72" spans="1:16" x14ac:dyDescent="0.25">
      <c r="A72" t="s">
        <v>302</v>
      </c>
      <c r="B72" t="s">
        <v>17</v>
      </c>
      <c r="C72" t="s">
        <v>18</v>
      </c>
      <c r="D72" t="s">
        <v>303</v>
      </c>
      <c r="E72" t="s">
        <v>201</v>
      </c>
      <c r="F72" t="s">
        <v>35</v>
      </c>
      <c r="G72" t="s">
        <v>304</v>
      </c>
      <c r="H72" t="s">
        <v>305</v>
      </c>
      <c r="J72" t="s">
        <v>306</v>
      </c>
      <c r="K72" t="s">
        <v>149</v>
      </c>
      <c r="L72" t="s">
        <v>307</v>
      </c>
      <c r="M72" t="s">
        <v>27</v>
      </c>
      <c r="N72" t="s">
        <v>74</v>
      </c>
      <c r="O72" t="s">
        <v>29</v>
      </c>
      <c r="P72" t="s">
        <v>308</v>
      </c>
    </row>
    <row r="73" spans="1:16" x14ac:dyDescent="0.25">
      <c r="A73" t="s">
        <v>302</v>
      </c>
      <c r="B73" t="s">
        <v>31</v>
      </c>
      <c r="C73" t="s">
        <v>18</v>
      </c>
      <c r="D73" t="s">
        <v>309</v>
      </c>
      <c r="E73" t="s">
        <v>201</v>
      </c>
      <c r="F73" t="s">
        <v>35</v>
      </c>
      <c r="G73" t="s">
        <v>304</v>
      </c>
      <c r="J73" t="s">
        <v>282</v>
      </c>
      <c r="K73" t="s">
        <v>149</v>
      </c>
      <c r="L73" t="s">
        <v>307</v>
      </c>
      <c r="M73" t="s">
        <v>27</v>
      </c>
      <c r="N73" t="s">
        <v>74</v>
      </c>
      <c r="O73" t="s">
        <v>29</v>
      </c>
      <c r="P73" t="s">
        <v>308</v>
      </c>
    </row>
    <row r="74" spans="1:16" x14ac:dyDescent="0.25">
      <c r="A74" t="s">
        <v>310</v>
      </c>
      <c r="B74" t="s">
        <v>17</v>
      </c>
      <c r="C74" t="s">
        <v>18</v>
      </c>
      <c r="D74" t="s">
        <v>311</v>
      </c>
      <c r="E74" t="s">
        <v>201</v>
      </c>
      <c r="F74" t="s">
        <v>35</v>
      </c>
      <c r="G74" t="s">
        <v>71</v>
      </c>
      <c r="H74" t="s">
        <v>312</v>
      </c>
      <c r="J74" t="s">
        <v>287</v>
      </c>
      <c r="K74" t="s">
        <v>149</v>
      </c>
      <c r="L74" t="s">
        <v>122</v>
      </c>
      <c r="M74" t="s">
        <v>27</v>
      </c>
      <c r="N74" t="s">
        <v>74</v>
      </c>
      <c r="O74" t="s">
        <v>29</v>
      </c>
      <c r="P74" t="s">
        <v>313</v>
      </c>
    </row>
    <row r="75" spans="1:16" x14ac:dyDescent="0.25">
      <c r="A75" t="s">
        <v>310</v>
      </c>
      <c r="B75" t="s">
        <v>31</v>
      </c>
      <c r="C75" t="s">
        <v>18</v>
      </c>
      <c r="D75" t="s">
        <v>314</v>
      </c>
      <c r="E75" t="s">
        <v>201</v>
      </c>
      <c r="F75" t="s">
        <v>35</v>
      </c>
      <c r="G75" t="s">
        <v>71</v>
      </c>
      <c r="J75" t="s">
        <v>315</v>
      </c>
      <c r="K75" t="s">
        <v>149</v>
      </c>
      <c r="L75" t="s">
        <v>122</v>
      </c>
      <c r="M75" t="s">
        <v>27</v>
      </c>
      <c r="N75" t="s">
        <v>74</v>
      </c>
      <c r="O75" t="s">
        <v>29</v>
      </c>
      <c r="P75" t="s">
        <v>313</v>
      </c>
    </row>
    <row r="76" spans="1:16" x14ac:dyDescent="0.25">
      <c r="A76" t="s">
        <v>316</v>
      </c>
      <c r="B76" t="s">
        <v>17</v>
      </c>
      <c r="C76" t="s">
        <v>18</v>
      </c>
      <c r="D76" t="s">
        <v>317</v>
      </c>
      <c r="E76" t="s">
        <v>201</v>
      </c>
      <c r="F76" t="s">
        <v>35</v>
      </c>
      <c r="G76" t="s">
        <v>318</v>
      </c>
      <c r="H76" t="s">
        <v>319</v>
      </c>
      <c r="J76" t="s">
        <v>249</v>
      </c>
      <c r="K76" t="s">
        <v>149</v>
      </c>
      <c r="L76" t="s">
        <v>299</v>
      </c>
      <c r="M76" t="s">
        <v>27</v>
      </c>
      <c r="N76" t="s">
        <v>74</v>
      </c>
      <c r="O76" t="s">
        <v>29</v>
      </c>
      <c r="P76" t="s">
        <v>89</v>
      </c>
    </row>
    <row r="77" spans="1:16" x14ac:dyDescent="0.25">
      <c r="A77" t="s">
        <v>316</v>
      </c>
      <c r="B77" t="s">
        <v>31</v>
      </c>
      <c r="C77" t="s">
        <v>18</v>
      </c>
      <c r="D77" t="s">
        <v>320</v>
      </c>
      <c r="E77" t="s">
        <v>201</v>
      </c>
      <c r="F77" t="s">
        <v>35</v>
      </c>
      <c r="G77" t="s">
        <v>318</v>
      </c>
      <c r="J77" t="s">
        <v>275</v>
      </c>
      <c r="K77" t="s">
        <v>149</v>
      </c>
      <c r="L77" t="s">
        <v>273</v>
      </c>
      <c r="M77" t="s">
        <v>27</v>
      </c>
      <c r="N77" t="s">
        <v>74</v>
      </c>
      <c r="O77" t="s">
        <v>29</v>
      </c>
      <c r="P77" t="s">
        <v>89</v>
      </c>
    </row>
    <row r="78" spans="1:16" x14ac:dyDescent="0.25">
      <c r="A78" t="s">
        <v>321</v>
      </c>
      <c r="B78" t="s">
        <v>17</v>
      </c>
      <c r="C78" t="s">
        <v>18</v>
      </c>
      <c r="D78" t="s">
        <v>322</v>
      </c>
      <c r="E78" t="s">
        <v>201</v>
      </c>
      <c r="F78" t="s">
        <v>35</v>
      </c>
      <c r="G78" t="s">
        <v>323</v>
      </c>
      <c r="H78" t="s">
        <v>324</v>
      </c>
      <c r="J78" t="s">
        <v>249</v>
      </c>
      <c r="K78" t="s">
        <v>149</v>
      </c>
      <c r="L78" t="s">
        <v>273</v>
      </c>
      <c r="M78" t="s">
        <v>27</v>
      </c>
      <c r="N78" t="s">
        <v>74</v>
      </c>
      <c r="O78" t="s">
        <v>29</v>
      </c>
      <c r="P78" t="s">
        <v>89</v>
      </c>
    </row>
    <row r="79" spans="1:16" x14ac:dyDescent="0.25">
      <c r="A79" t="s">
        <v>321</v>
      </c>
      <c r="B79" t="s">
        <v>31</v>
      </c>
      <c r="C79" t="s">
        <v>18</v>
      </c>
      <c r="D79" t="s">
        <v>325</v>
      </c>
      <c r="E79" t="s">
        <v>201</v>
      </c>
      <c r="F79" t="s">
        <v>35</v>
      </c>
      <c r="G79" t="s">
        <v>323</v>
      </c>
      <c r="J79" t="s">
        <v>275</v>
      </c>
      <c r="K79" t="s">
        <v>149</v>
      </c>
      <c r="L79" t="s">
        <v>226</v>
      </c>
      <c r="M79" t="s">
        <v>27</v>
      </c>
      <c r="N79" t="s">
        <v>74</v>
      </c>
      <c r="O79" t="s">
        <v>29</v>
      </c>
      <c r="P79" t="s">
        <v>89</v>
      </c>
    </row>
    <row r="80" spans="1:16" x14ac:dyDescent="0.25">
      <c r="A80" t="s">
        <v>326</v>
      </c>
      <c r="B80" t="s">
        <v>17</v>
      </c>
      <c r="C80" t="s">
        <v>18</v>
      </c>
      <c r="D80" t="s">
        <v>327</v>
      </c>
      <c r="E80" t="s">
        <v>201</v>
      </c>
      <c r="F80" t="s">
        <v>35</v>
      </c>
      <c r="G80" t="s">
        <v>235</v>
      </c>
      <c r="H80" t="s">
        <v>328</v>
      </c>
      <c r="J80" t="s">
        <v>329</v>
      </c>
      <c r="K80" t="s">
        <v>149</v>
      </c>
      <c r="L80" t="s">
        <v>330</v>
      </c>
      <c r="M80" t="s">
        <v>27</v>
      </c>
      <c r="N80" t="s">
        <v>74</v>
      </c>
      <c r="O80" t="s">
        <v>29</v>
      </c>
      <c r="P80" t="s">
        <v>89</v>
      </c>
    </row>
    <row r="81" spans="1:16" x14ac:dyDescent="0.25">
      <c r="A81" t="s">
        <v>326</v>
      </c>
      <c r="B81" t="s">
        <v>31</v>
      </c>
      <c r="C81" t="s">
        <v>18</v>
      </c>
      <c r="D81" t="s">
        <v>331</v>
      </c>
      <c r="E81" t="s">
        <v>201</v>
      </c>
      <c r="F81" t="s">
        <v>35</v>
      </c>
      <c r="G81" t="s">
        <v>235</v>
      </c>
      <c r="J81" t="s">
        <v>275</v>
      </c>
      <c r="K81" t="s">
        <v>149</v>
      </c>
      <c r="L81" t="s">
        <v>330</v>
      </c>
      <c r="M81" t="s">
        <v>27</v>
      </c>
      <c r="N81" t="s">
        <v>74</v>
      </c>
      <c r="O81" t="s">
        <v>29</v>
      </c>
      <c r="P81" t="s">
        <v>89</v>
      </c>
    </row>
    <row r="82" spans="1:16" x14ac:dyDescent="0.25">
      <c r="A82" t="s">
        <v>332</v>
      </c>
      <c r="B82" t="s">
        <v>17</v>
      </c>
      <c r="C82" t="s">
        <v>18</v>
      </c>
      <c r="D82" t="s">
        <v>333</v>
      </c>
      <c r="E82" t="s">
        <v>201</v>
      </c>
      <c r="F82" t="s">
        <v>35</v>
      </c>
      <c r="G82" t="s">
        <v>202</v>
      </c>
      <c r="H82" t="s">
        <v>334</v>
      </c>
      <c r="J82" t="s">
        <v>335</v>
      </c>
      <c r="K82" t="s">
        <v>149</v>
      </c>
      <c r="L82" t="s">
        <v>336</v>
      </c>
      <c r="M82" t="s">
        <v>27</v>
      </c>
      <c r="N82" t="s">
        <v>74</v>
      </c>
      <c r="O82" t="s">
        <v>29</v>
      </c>
      <c r="P82" t="s">
        <v>89</v>
      </c>
    </row>
    <row r="83" spans="1:16" x14ac:dyDescent="0.25">
      <c r="A83" t="s">
        <v>332</v>
      </c>
      <c r="B83" t="s">
        <v>31</v>
      </c>
      <c r="C83" t="s">
        <v>18</v>
      </c>
      <c r="D83" t="s">
        <v>337</v>
      </c>
      <c r="E83" t="s">
        <v>201</v>
      </c>
      <c r="F83" t="s">
        <v>35</v>
      </c>
      <c r="G83" t="s">
        <v>202</v>
      </c>
      <c r="J83" t="s">
        <v>338</v>
      </c>
      <c r="K83" t="s">
        <v>149</v>
      </c>
      <c r="L83" t="s">
        <v>336</v>
      </c>
      <c r="M83" t="s">
        <v>27</v>
      </c>
      <c r="N83" t="s">
        <v>74</v>
      </c>
      <c r="O83" t="s">
        <v>29</v>
      </c>
      <c r="P83" t="s">
        <v>89</v>
      </c>
    </row>
    <row r="84" spans="1:16" x14ac:dyDescent="0.25">
      <c r="A84" t="s">
        <v>339</v>
      </c>
      <c r="B84" t="s">
        <v>17</v>
      </c>
      <c r="C84" t="s">
        <v>18</v>
      </c>
      <c r="D84" t="s">
        <v>340</v>
      </c>
      <c r="E84" t="s">
        <v>201</v>
      </c>
      <c r="F84" t="s">
        <v>35</v>
      </c>
      <c r="G84" t="s">
        <v>341</v>
      </c>
      <c r="H84" t="s">
        <v>342</v>
      </c>
      <c r="J84" t="s">
        <v>287</v>
      </c>
      <c r="K84" t="s">
        <v>149</v>
      </c>
      <c r="L84" t="s">
        <v>307</v>
      </c>
      <c r="M84" t="s">
        <v>27</v>
      </c>
      <c r="N84" t="s">
        <v>74</v>
      </c>
      <c r="O84" t="s">
        <v>29</v>
      </c>
      <c r="P84" t="s">
        <v>89</v>
      </c>
    </row>
    <row r="85" spans="1:16" x14ac:dyDescent="0.25">
      <c r="A85" t="s">
        <v>339</v>
      </c>
      <c r="B85" t="s">
        <v>31</v>
      </c>
      <c r="C85" t="s">
        <v>18</v>
      </c>
      <c r="D85" t="s">
        <v>343</v>
      </c>
      <c r="E85" t="s">
        <v>201</v>
      </c>
      <c r="F85" t="s">
        <v>35</v>
      </c>
      <c r="G85" t="s">
        <v>341</v>
      </c>
      <c r="J85" t="s">
        <v>289</v>
      </c>
      <c r="K85" t="s">
        <v>149</v>
      </c>
      <c r="L85" t="s">
        <v>307</v>
      </c>
      <c r="M85" t="s">
        <v>27</v>
      </c>
      <c r="N85" t="s">
        <v>74</v>
      </c>
      <c r="O85" t="s">
        <v>29</v>
      </c>
      <c r="P85" t="s">
        <v>89</v>
      </c>
    </row>
    <row r="86" spans="1:16" x14ac:dyDescent="0.25">
      <c r="A86" t="s">
        <v>344</v>
      </c>
      <c r="B86" t="s">
        <v>17</v>
      </c>
      <c r="C86" t="s">
        <v>18</v>
      </c>
      <c r="D86" t="s">
        <v>345</v>
      </c>
      <c r="E86" t="s">
        <v>201</v>
      </c>
      <c r="F86" t="s">
        <v>35</v>
      </c>
      <c r="G86" t="s">
        <v>346</v>
      </c>
      <c r="H86" t="s">
        <v>347</v>
      </c>
      <c r="J86" t="s">
        <v>348</v>
      </c>
      <c r="K86" t="s">
        <v>149</v>
      </c>
      <c r="L86" t="s">
        <v>307</v>
      </c>
      <c r="M86" t="s">
        <v>27</v>
      </c>
      <c r="N86" t="s">
        <v>74</v>
      </c>
      <c r="O86" t="s">
        <v>29</v>
      </c>
      <c r="P86" t="s">
        <v>89</v>
      </c>
    </row>
    <row r="87" spans="1:16" x14ac:dyDescent="0.25">
      <c r="A87" t="s">
        <v>344</v>
      </c>
      <c r="B87" t="s">
        <v>31</v>
      </c>
      <c r="C87" t="s">
        <v>18</v>
      </c>
      <c r="D87" t="s">
        <v>349</v>
      </c>
      <c r="E87" t="s">
        <v>201</v>
      </c>
      <c r="F87" t="s">
        <v>35</v>
      </c>
      <c r="G87" t="s">
        <v>346</v>
      </c>
      <c r="J87" t="s">
        <v>350</v>
      </c>
      <c r="K87" t="s">
        <v>149</v>
      </c>
      <c r="L87" t="s">
        <v>307</v>
      </c>
      <c r="M87" t="s">
        <v>27</v>
      </c>
      <c r="N87" t="s">
        <v>74</v>
      </c>
      <c r="O87" t="s">
        <v>29</v>
      </c>
      <c r="P87" t="s">
        <v>89</v>
      </c>
    </row>
    <row r="88" spans="1:16" x14ac:dyDescent="0.25">
      <c r="A88" t="s">
        <v>351</v>
      </c>
      <c r="B88" t="s">
        <v>17</v>
      </c>
      <c r="C88" t="s">
        <v>18</v>
      </c>
      <c r="D88" t="s">
        <v>352</v>
      </c>
      <c r="E88" t="s">
        <v>201</v>
      </c>
      <c r="F88" t="s">
        <v>35</v>
      </c>
      <c r="G88" t="s">
        <v>353</v>
      </c>
      <c r="H88" t="s">
        <v>354</v>
      </c>
      <c r="J88" t="s">
        <v>279</v>
      </c>
      <c r="K88" t="s">
        <v>149</v>
      </c>
      <c r="L88" t="s">
        <v>355</v>
      </c>
      <c r="M88" t="s">
        <v>27</v>
      </c>
      <c r="N88" t="s">
        <v>74</v>
      </c>
      <c r="O88" t="s">
        <v>29</v>
      </c>
      <c r="P88" t="s">
        <v>89</v>
      </c>
    </row>
    <row r="89" spans="1:16" x14ac:dyDescent="0.25">
      <c r="A89" t="s">
        <v>351</v>
      </c>
      <c r="B89" t="s">
        <v>31</v>
      </c>
      <c r="C89" t="s">
        <v>18</v>
      </c>
      <c r="D89" t="s">
        <v>356</v>
      </c>
      <c r="E89" t="s">
        <v>201</v>
      </c>
      <c r="F89" t="s">
        <v>35</v>
      </c>
      <c r="G89" t="s">
        <v>353</v>
      </c>
      <c r="J89" t="s">
        <v>282</v>
      </c>
      <c r="K89" t="s">
        <v>149</v>
      </c>
      <c r="L89" t="s">
        <v>355</v>
      </c>
      <c r="M89" t="s">
        <v>27</v>
      </c>
      <c r="N89" t="s">
        <v>74</v>
      </c>
      <c r="O89" t="s">
        <v>29</v>
      </c>
      <c r="P89" t="s">
        <v>89</v>
      </c>
    </row>
    <row r="90" spans="1:16" x14ac:dyDescent="0.25">
      <c r="A90" t="s">
        <v>357</v>
      </c>
      <c r="B90" t="s">
        <v>17</v>
      </c>
      <c r="C90" t="s">
        <v>18</v>
      </c>
      <c r="D90" t="s">
        <v>358</v>
      </c>
      <c r="E90" t="s">
        <v>201</v>
      </c>
      <c r="F90" t="s">
        <v>35</v>
      </c>
      <c r="G90" t="s">
        <v>359</v>
      </c>
      <c r="H90" t="s">
        <v>360</v>
      </c>
      <c r="J90" t="s">
        <v>361</v>
      </c>
      <c r="K90" t="s">
        <v>149</v>
      </c>
      <c r="L90" t="s">
        <v>362</v>
      </c>
      <c r="M90" t="s">
        <v>27</v>
      </c>
      <c r="N90" t="s">
        <v>74</v>
      </c>
      <c r="O90" t="s">
        <v>29</v>
      </c>
      <c r="P90" t="s">
        <v>363</v>
      </c>
    </row>
    <row r="91" spans="1:16" x14ac:dyDescent="0.25">
      <c r="A91" t="s">
        <v>357</v>
      </c>
      <c r="B91" t="s">
        <v>31</v>
      </c>
      <c r="C91" t="s">
        <v>18</v>
      </c>
      <c r="D91" t="s">
        <v>364</v>
      </c>
      <c r="E91" t="s">
        <v>201</v>
      </c>
      <c r="F91" t="s">
        <v>35</v>
      </c>
      <c r="G91" t="s">
        <v>359</v>
      </c>
      <c r="J91" t="s">
        <v>365</v>
      </c>
      <c r="K91" t="s">
        <v>149</v>
      </c>
      <c r="L91" t="s">
        <v>366</v>
      </c>
      <c r="M91" t="s">
        <v>27</v>
      </c>
      <c r="N91" t="s">
        <v>74</v>
      </c>
      <c r="O91" t="s">
        <v>29</v>
      </c>
      <c r="P91" t="s">
        <v>363</v>
      </c>
    </row>
    <row r="92" spans="1:16" x14ac:dyDescent="0.25">
      <c r="A92" t="s">
        <v>367</v>
      </c>
      <c r="B92" t="s">
        <v>17</v>
      </c>
      <c r="C92" t="s">
        <v>18</v>
      </c>
      <c r="D92" t="s">
        <v>368</v>
      </c>
      <c r="E92" t="s">
        <v>201</v>
      </c>
      <c r="F92" t="s">
        <v>35</v>
      </c>
      <c r="G92" t="s">
        <v>78</v>
      </c>
      <c r="H92" t="s">
        <v>369</v>
      </c>
      <c r="J92" t="s">
        <v>306</v>
      </c>
      <c r="K92" t="s">
        <v>149</v>
      </c>
      <c r="L92" t="s">
        <v>273</v>
      </c>
      <c r="M92" t="s">
        <v>27</v>
      </c>
      <c r="N92" t="s">
        <v>74</v>
      </c>
      <c r="O92" t="s">
        <v>29</v>
      </c>
      <c r="P92" t="s">
        <v>370</v>
      </c>
    </row>
    <row r="93" spans="1:16" x14ac:dyDescent="0.25">
      <c r="A93" t="s">
        <v>367</v>
      </c>
      <c r="B93" t="s">
        <v>31</v>
      </c>
      <c r="C93" t="s">
        <v>18</v>
      </c>
      <c r="D93" t="s">
        <v>371</v>
      </c>
      <c r="E93" t="s">
        <v>201</v>
      </c>
      <c r="F93" t="s">
        <v>35</v>
      </c>
      <c r="G93" t="s">
        <v>78</v>
      </c>
      <c r="J93" t="s">
        <v>372</v>
      </c>
      <c r="K93" t="s">
        <v>149</v>
      </c>
      <c r="L93" t="s">
        <v>226</v>
      </c>
      <c r="M93" t="s">
        <v>27</v>
      </c>
      <c r="N93" t="s">
        <v>74</v>
      </c>
      <c r="O93" t="s">
        <v>29</v>
      </c>
      <c r="P93" t="s">
        <v>370</v>
      </c>
    </row>
    <row r="94" spans="1:16" x14ac:dyDescent="0.25">
      <c r="A94" t="s">
        <v>373</v>
      </c>
      <c r="B94" t="s">
        <v>17</v>
      </c>
      <c r="C94" t="s">
        <v>18</v>
      </c>
      <c r="D94" t="s">
        <v>374</v>
      </c>
      <c r="E94" t="s">
        <v>375</v>
      </c>
      <c r="F94" t="s">
        <v>35</v>
      </c>
      <c r="G94" t="s">
        <v>376</v>
      </c>
      <c r="H94" t="s">
        <v>377</v>
      </c>
      <c r="J94" t="s">
        <v>335</v>
      </c>
      <c r="K94" t="s">
        <v>149</v>
      </c>
      <c r="L94" t="s">
        <v>214</v>
      </c>
      <c r="M94" t="s">
        <v>27</v>
      </c>
      <c r="N94" t="s">
        <v>74</v>
      </c>
      <c r="O94" t="s">
        <v>29</v>
      </c>
      <c r="P94" t="s">
        <v>30</v>
      </c>
    </row>
    <row r="95" spans="1:16" x14ac:dyDescent="0.25">
      <c r="A95" t="s">
        <v>373</v>
      </c>
      <c r="B95" t="s">
        <v>31</v>
      </c>
      <c r="C95" t="s">
        <v>18</v>
      </c>
      <c r="D95" t="s">
        <v>378</v>
      </c>
      <c r="E95" t="s">
        <v>375</v>
      </c>
      <c r="F95" t="s">
        <v>35</v>
      </c>
      <c r="G95" t="s">
        <v>376</v>
      </c>
      <c r="J95" t="s">
        <v>379</v>
      </c>
      <c r="K95" t="s">
        <v>149</v>
      </c>
      <c r="L95" t="s">
        <v>214</v>
      </c>
      <c r="M95" t="s">
        <v>27</v>
      </c>
      <c r="N95" t="s">
        <v>74</v>
      </c>
      <c r="O95" t="s">
        <v>29</v>
      </c>
      <c r="P95" t="s">
        <v>30</v>
      </c>
    </row>
    <row r="96" spans="1:16" x14ac:dyDescent="0.25">
      <c r="A96" t="s">
        <v>380</v>
      </c>
      <c r="B96" t="s">
        <v>51</v>
      </c>
      <c r="C96" t="s">
        <v>18</v>
      </c>
      <c r="D96" t="s">
        <v>381</v>
      </c>
      <c r="E96" t="s">
        <v>144</v>
      </c>
      <c r="F96" t="s">
        <v>21</v>
      </c>
      <c r="G96" t="s">
        <v>382</v>
      </c>
      <c r="H96" t="s">
        <v>383</v>
      </c>
      <c r="J96" t="s">
        <v>384</v>
      </c>
      <c r="K96" t="s">
        <v>149</v>
      </c>
      <c r="L96" t="s">
        <v>122</v>
      </c>
      <c r="M96" t="s">
        <v>27</v>
      </c>
      <c r="N96" t="s">
        <v>74</v>
      </c>
      <c r="O96" t="s">
        <v>29</v>
      </c>
      <c r="P96" t="s">
        <v>385</v>
      </c>
    </row>
    <row r="97" spans="1:16" x14ac:dyDescent="0.25">
      <c r="A97" t="s">
        <v>386</v>
      </c>
      <c r="B97" t="s">
        <v>17</v>
      </c>
      <c r="C97" t="s">
        <v>18</v>
      </c>
      <c r="D97" t="s">
        <v>387</v>
      </c>
      <c r="E97" t="s">
        <v>187</v>
      </c>
      <c r="F97" t="s">
        <v>35</v>
      </c>
      <c r="G97" t="s">
        <v>180</v>
      </c>
      <c r="H97" t="s">
        <v>388</v>
      </c>
      <c r="J97" t="s">
        <v>389</v>
      </c>
      <c r="K97" t="s">
        <v>149</v>
      </c>
      <c r="L97" t="s">
        <v>122</v>
      </c>
      <c r="M97" t="s">
        <v>27</v>
      </c>
      <c r="N97" t="s">
        <v>74</v>
      </c>
      <c r="O97" t="s">
        <v>29</v>
      </c>
      <c r="P97" t="s">
        <v>390</v>
      </c>
    </row>
    <row r="98" spans="1:16" x14ac:dyDescent="0.25">
      <c r="A98" t="s">
        <v>386</v>
      </c>
      <c r="B98" t="s">
        <v>31</v>
      </c>
      <c r="C98" t="s">
        <v>18</v>
      </c>
      <c r="D98" t="s">
        <v>391</v>
      </c>
      <c r="E98" t="s">
        <v>187</v>
      </c>
      <c r="F98" t="s">
        <v>35</v>
      </c>
      <c r="G98" t="s">
        <v>180</v>
      </c>
      <c r="J98" t="s">
        <v>392</v>
      </c>
      <c r="K98" t="s">
        <v>149</v>
      </c>
      <c r="L98" t="s">
        <v>122</v>
      </c>
      <c r="M98" t="s">
        <v>27</v>
      </c>
      <c r="N98" t="s">
        <v>74</v>
      </c>
      <c r="O98" t="s">
        <v>29</v>
      </c>
      <c r="P98" t="s">
        <v>390</v>
      </c>
    </row>
    <row r="99" spans="1:16" x14ac:dyDescent="0.25">
      <c r="A99" t="s">
        <v>393</v>
      </c>
      <c r="B99" t="s">
        <v>51</v>
      </c>
      <c r="C99" t="s">
        <v>18</v>
      </c>
      <c r="D99" t="s">
        <v>394</v>
      </c>
      <c r="E99" t="s">
        <v>144</v>
      </c>
      <c r="F99" t="s">
        <v>53</v>
      </c>
      <c r="G99" t="s">
        <v>395</v>
      </c>
      <c r="H99" t="s">
        <v>396</v>
      </c>
      <c r="J99" t="s">
        <v>397</v>
      </c>
      <c r="K99" t="s">
        <v>149</v>
      </c>
      <c r="L99" t="s">
        <v>212</v>
      </c>
      <c r="M99" t="s">
        <v>27</v>
      </c>
      <c r="N99" t="s">
        <v>74</v>
      </c>
      <c r="O99" t="s">
        <v>29</v>
      </c>
      <c r="P99" t="s">
        <v>398</v>
      </c>
    </row>
    <row r="100" spans="1:16" x14ac:dyDescent="0.25">
      <c r="A100" t="s">
        <v>399</v>
      </c>
      <c r="B100" t="s">
        <v>51</v>
      </c>
      <c r="C100" t="s">
        <v>18</v>
      </c>
      <c r="D100" t="s">
        <v>400</v>
      </c>
      <c r="E100" t="s">
        <v>144</v>
      </c>
      <c r="F100" t="s">
        <v>53</v>
      </c>
      <c r="G100" t="s">
        <v>401</v>
      </c>
      <c r="H100" t="s">
        <v>402</v>
      </c>
      <c r="J100" t="s">
        <v>397</v>
      </c>
      <c r="K100" t="s">
        <v>149</v>
      </c>
      <c r="L100" t="s">
        <v>122</v>
      </c>
      <c r="M100" t="s">
        <v>27</v>
      </c>
      <c r="N100" t="s">
        <v>74</v>
      </c>
      <c r="O100" t="s">
        <v>29</v>
      </c>
      <c r="P100" t="s">
        <v>398</v>
      </c>
    </row>
    <row r="101" spans="1:16" x14ac:dyDescent="0.25">
      <c r="A101" t="s">
        <v>403</v>
      </c>
      <c r="B101" t="s">
        <v>51</v>
      </c>
      <c r="C101" t="s">
        <v>18</v>
      </c>
      <c r="D101" t="s">
        <v>404</v>
      </c>
      <c r="E101" t="s">
        <v>144</v>
      </c>
      <c r="F101" t="s">
        <v>53</v>
      </c>
      <c r="G101" t="s">
        <v>405</v>
      </c>
      <c r="H101" t="s">
        <v>406</v>
      </c>
      <c r="J101" t="s">
        <v>407</v>
      </c>
      <c r="K101" t="s">
        <v>149</v>
      </c>
      <c r="L101" t="s">
        <v>122</v>
      </c>
      <c r="M101" t="s">
        <v>27</v>
      </c>
      <c r="N101" t="s">
        <v>74</v>
      </c>
      <c r="O101" t="s">
        <v>29</v>
      </c>
      <c r="P101" t="s">
        <v>398</v>
      </c>
    </row>
    <row r="102" spans="1:16" x14ac:dyDescent="0.25">
      <c r="A102" t="s">
        <v>408</v>
      </c>
      <c r="B102" t="s">
        <v>51</v>
      </c>
      <c r="C102" t="s">
        <v>18</v>
      </c>
      <c r="D102" t="s">
        <v>409</v>
      </c>
      <c r="E102" t="s">
        <v>144</v>
      </c>
      <c r="F102" t="s">
        <v>53</v>
      </c>
      <c r="G102" t="s">
        <v>60</v>
      </c>
      <c r="H102" t="s">
        <v>410</v>
      </c>
      <c r="J102" t="s">
        <v>407</v>
      </c>
      <c r="K102" t="s">
        <v>149</v>
      </c>
      <c r="L102" t="s">
        <v>307</v>
      </c>
      <c r="M102" t="s">
        <v>27</v>
      </c>
      <c r="N102" t="s">
        <v>74</v>
      </c>
      <c r="O102" t="s">
        <v>29</v>
      </c>
      <c r="P102" t="s">
        <v>398</v>
      </c>
    </row>
    <row r="103" spans="1:16" x14ac:dyDescent="0.25">
      <c r="A103" t="s">
        <v>411</v>
      </c>
      <c r="B103" t="s">
        <v>17</v>
      </c>
      <c r="C103" t="s">
        <v>18</v>
      </c>
      <c r="D103" t="s">
        <v>412</v>
      </c>
      <c r="E103" t="s">
        <v>144</v>
      </c>
      <c r="F103" t="s">
        <v>53</v>
      </c>
      <c r="G103" t="s">
        <v>155</v>
      </c>
      <c r="H103" t="s">
        <v>413</v>
      </c>
      <c r="J103" t="s">
        <v>414</v>
      </c>
      <c r="K103" t="s">
        <v>149</v>
      </c>
      <c r="L103" t="s">
        <v>122</v>
      </c>
      <c r="M103" t="s">
        <v>27</v>
      </c>
      <c r="N103" t="s">
        <v>74</v>
      </c>
      <c r="O103" t="s">
        <v>29</v>
      </c>
      <c r="P103" t="s">
        <v>415</v>
      </c>
    </row>
    <row r="104" spans="1:16" x14ac:dyDescent="0.25">
      <c r="A104" t="s">
        <v>411</v>
      </c>
      <c r="B104" t="s">
        <v>31</v>
      </c>
      <c r="C104" t="s">
        <v>18</v>
      </c>
      <c r="D104" t="s">
        <v>416</v>
      </c>
      <c r="E104" t="s">
        <v>144</v>
      </c>
      <c r="F104" t="s">
        <v>53</v>
      </c>
      <c r="G104" t="s">
        <v>155</v>
      </c>
      <c r="J104" t="s">
        <v>171</v>
      </c>
      <c r="K104" t="s">
        <v>149</v>
      </c>
      <c r="L104" t="s">
        <v>122</v>
      </c>
      <c r="M104" t="s">
        <v>27</v>
      </c>
      <c r="N104" t="s">
        <v>74</v>
      </c>
      <c r="O104" t="s">
        <v>29</v>
      </c>
      <c r="P104" t="s">
        <v>415</v>
      </c>
    </row>
    <row r="105" spans="1:16" x14ac:dyDescent="0.25">
      <c r="A105" t="s">
        <v>417</v>
      </c>
      <c r="B105" t="s">
        <v>17</v>
      </c>
      <c r="C105" t="s">
        <v>18</v>
      </c>
      <c r="D105" t="s">
        <v>418</v>
      </c>
      <c r="E105" t="s">
        <v>144</v>
      </c>
      <c r="F105" t="s">
        <v>21</v>
      </c>
      <c r="G105" t="s">
        <v>419</v>
      </c>
      <c r="H105" t="s">
        <v>420</v>
      </c>
      <c r="J105" t="s">
        <v>421</v>
      </c>
      <c r="K105" t="s">
        <v>149</v>
      </c>
      <c r="L105" t="s">
        <v>122</v>
      </c>
      <c r="M105" t="s">
        <v>27</v>
      </c>
      <c r="N105" t="s">
        <v>74</v>
      </c>
      <c r="O105" t="s">
        <v>29</v>
      </c>
      <c r="P105" t="s">
        <v>422</v>
      </c>
    </row>
    <row r="106" spans="1:16" x14ac:dyDescent="0.25">
      <c r="A106" t="s">
        <v>417</v>
      </c>
      <c r="B106" t="s">
        <v>31</v>
      </c>
      <c r="C106" t="s">
        <v>18</v>
      </c>
      <c r="D106" t="s">
        <v>423</v>
      </c>
      <c r="E106" t="s">
        <v>144</v>
      </c>
      <c r="F106" t="s">
        <v>21</v>
      </c>
      <c r="G106" t="s">
        <v>419</v>
      </c>
      <c r="J106" t="s">
        <v>424</v>
      </c>
      <c r="K106" t="s">
        <v>149</v>
      </c>
      <c r="L106" t="s">
        <v>122</v>
      </c>
      <c r="M106" t="s">
        <v>27</v>
      </c>
      <c r="N106" t="s">
        <v>74</v>
      </c>
      <c r="O106" t="s">
        <v>29</v>
      </c>
      <c r="P106" t="s">
        <v>422</v>
      </c>
    </row>
    <row r="107" spans="1:16" x14ac:dyDescent="0.25">
      <c r="A107" t="s">
        <v>425</v>
      </c>
      <c r="B107" t="s">
        <v>17</v>
      </c>
      <c r="C107" t="s">
        <v>18</v>
      </c>
      <c r="D107" t="s">
        <v>426</v>
      </c>
      <c r="E107" t="s">
        <v>144</v>
      </c>
      <c r="F107" t="s">
        <v>21</v>
      </c>
      <c r="G107" t="s">
        <v>427</v>
      </c>
      <c r="H107" t="s">
        <v>428</v>
      </c>
      <c r="J107" t="s">
        <v>429</v>
      </c>
      <c r="K107" t="s">
        <v>149</v>
      </c>
      <c r="L107" t="s">
        <v>122</v>
      </c>
      <c r="M107" t="s">
        <v>27</v>
      </c>
      <c r="N107" t="s">
        <v>74</v>
      </c>
      <c r="O107" t="s">
        <v>29</v>
      </c>
      <c r="P107" t="s">
        <v>430</v>
      </c>
    </row>
    <row r="108" spans="1:16" x14ac:dyDescent="0.25">
      <c r="A108" t="s">
        <v>425</v>
      </c>
      <c r="B108" t="s">
        <v>31</v>
      </c>
      <c r="C108" t="s">
        <v>18</v>
      </c>
      <c r="D108" t="s">
        <v>431</v>
      </c>
      <c r="E108" t="s">
        <v>144</v>
      </c>
      <c r="F108" t="s">
        <v>21</v>
      </c>
      <c r="G108" t="s">
        <v>427</v>
      </c>
      <c r="J108" t="s">
        <v>432</v>
      </c>
      <c r="K108" t="s">
        <v>149</v>
      </c>
      <c r="L108" t="s">
        <v>122</v>
      </c>
      <c r="M108" t="s">
        <v>27</v>
      </c>
      <c r="N108" t="s">
        <v>74</v>
      </c>
      <c r="O108" t="s">
        <v>29</v>
      </c>
      <c r="P108" t="s">
        <v>430</v>
      </c>
    </row>
    <row r="109" spans="1:16" x14ac:dyDescent="0.25">
      <c r="A109" t="s">
        <v>433</v>
      </c>
      <c r="B109" t="s">
        <v>17</v>
      </c>
      <c r="C109" t="s">
        <v>18</v>
      </c>
      <c r="D109" t="s">
        <v>434</v>
      </c>
      <c r="E109" t="s">
        <v>435</v>
      </c>
      <c r="F109" t="s">
        <v>35</v>
      </c>
      <c r="G109" t="s">
        <v>436</v>
      </c>
      <c r="H109" t="s">
        <v>437</v>
      </c>
      <c r="J109" t="s">
        <v>438</v>
      </c>
      <c r="K109" t="s">
        <v>149</v>
      </c>
      <c r="L109" t="s">
        <v>307</v>
      </c>
      <c r="M109" t="s">
        <v>27</v>
      </c>
      <c r="N109" t="s">
        <v>74</v>
      </c>
      <c r="O109" t="s">
        <v>29</v>
      </c>
      <c r="P109" t="s">
        <v>439</v>
      </c>
    </row>
    <row r="110" spans="1:16" x14ac:dyDescent="0.25">
      <c r="A110" t="s">
        <v>433</v>
      </c>
      <c r="B110" t="s">
        <v>31</v>
      </c>
      <c r="C110" t="s">
        <v>18</v>
      </c>
      <c r="D110" t="s">
        <v>440</v>
      </c>
      <c r="E110" t="s">
        <v>435</v>
      </c>
      <c r="F110" t="s">
        <v>35</v>
      </c>
      <c r="G110" t="s">
        <v>436</v>
      </c>
      <c r="J110" t="s">
        <v>192</v>
      </c>
      <c r="K110" t="s">
        <v>149</v>
      </c>
      <c r="L110" t="s">
        <v>307</v>
      </c>
      <c r="M110" t="s">
        <v>27</v>
      </c>
      <c r="N110" t="s">
        <v>74</v>
      </c>
      <c r="O110" t="s">
        <v>29</v>
      </c>
      <c r="P110" t="s">
        <v>439</v>
      </c>
    </row>
    <row r="111" spans="1:16" x14ac:dyDescent="0.25">
      <c r="A111" t="s">
        <v>441</v>
      </c>
      <c r="B111" t="s">
        <v>17</v>
      </c>
      <c r="C111" t="s">
        <v>18</v>
      </c>
      <c r="D111" t="s">
        <v>442</v>
      </c>
      <c r="E111" t="s">
        <v>187</v>
      </c>
      <c r="F111" t="s">
        <v>35</v>
      </c>
      <c r="G111" t="s">
        <v>443</v>
      </c>
      <c r="H111" t="s">
        <v>444</v>
      </c>
      <c r="J111" t="s">
        <v>445</v>
      </c>
      <c r="K111" t="s">
        <v>149</v>
      </c>
      <c r="L111" t="s">
        <v>122</v>
      </c>
      <c r="M111" t="s">
        <v>27</v>
      </c>
      <c r="N111" t="s">
        <v>74</v>
      </c>
      <c r="O111" t="s">
        <v>29</v>
      </c>
      <c r="P111" t="s">
        <v>89</v>
      </c>
    </row>
    <row r="112" spans="1:16" x14ac:dyDescent="0.25">
      <c r="A112" t="s">
        <v>441</v>
      </c>
      <c r="B112" t="s">
        <v>31</v>
      </c>
      <c r="C112" t="s">
        <v>18</v>
      </c>
      <c r="D112" t="s">
        <v>446</v>
      </c>
      <c r="E112" t="s">
        <v>187</v>
      </c>
      <c r="F112" t="s">
        <v>35</v>
      </c>
      <c r="G112" t="s">
        <v>443</v>
      </c>
      <c r="J112" t="s">
        <v>447</v>
      </c>
      <c r="K112" t="s">
        <v>149</v>
      </c>
      <c r="L112" t="s">
        <v>122</v>
      </c>
      <c r="M112" t="s">
        <v>27</v>
      </c>
      <c r="N112" t="s">
        <v>74</v>
      </c>
      <c r="O112" t="s">
        <v>29</v>
      </c>
      <c r="P112" t="s">
        <v>89</v>
      </c>
    </row>
    <row r="113" spans="1:16" x14ac:dyDescent="0.25">
      <c r="A113" t="s">
        <v>448</v>
      </c>
      <c r="B113" t="s">
        <v>17</v>
      </c>
      <c r="C113" t="s">
        <v>18</v>
      </c>
      <c r="D113" t="s">
        <v>449</v>
      </c>
      <c r="E113" t="s">
        <v>187</v>
      </c>
      <c r="F113" t="s">
        <v>35</v>
      </c>
      <c r="G113" t="s">
        <v>450</v>
      </c>
      <c r="H113" t="s">
        <v>451</v>
      </c>
      <c r="J113" t="s">
        <v>445</v>
      </c>
      <c r="K113" t="s">
        <v>149</v>
      </c>
      <c r="L113" t="s">
        <v>452</v>
      </c>
      <c r="M113" t="s">
        <v>27</v>
      </c>
      <c r="N113" t="s">
        <v>74</v>
      </c>
      <c r="O113" t="s">
        <v>29</v>
      </c>
      <c r="P113" t="s">
        <v>89</v>
      </c>
    </row>
    <row r="114" spans="1:16" x14ac:dyDescent="0.25">
      <c r="A114" t="s">
        <v>448</v>
      </c>
      <c r="B114" t="s">
        <v>31</v>
      </c>
      <c r="C114" t="s">
        <v>18</v>
      </c>
      <c r="D114" t="s">
        <v>453</v>
      </c>
      <c r="E114" t="s">
        <v>187</v>
      </c>
      <c r="F114" t="s">
        <v>35</v>
      </c>
      <c r="G114" t="s">
        <v>450</v>
      </c>
      <c r="J114" t="s">
        <v>454</v>
      </c>
      <c r="K114" t="s">
        <v>149</v>
      </c>
      <c r="L114" t="s">
        <v>452</v>
      </c>
      <c r="M114" t="s">
        <v>27</v>
      </c>
      <c r="N114" t="s">
        <v>74</v>
      </c>
      <c r="O114" t="s">
        <v>29</v>
      </c>
      <c r="P114" t="s">
        <v>89</v>
      </c>
    </row>
    <row r="115" spans="1:16" x14ac:dyDescent="0.25">
      <c r="A115" t="s">
        <v>455</v>
      </c>
      <c r="B115" t="s">
        <v>17</v>
      </c>
      <c r="C115" t="s">
        <v>18</v>
      </c>
      <c r="D115" t="s">
        <v>456</v>
      </c>
      <c r="E115" t="s">
        <v>187</v>
      </c>
      <c r="F115" t="s">
        <v>35</v>
      </c>
      <c r="G115" t="s">
        <v>457</v>
      </c>
      <c r="H115" t="s">
        <v>458</v>
      </c>
      <c r="J115" t="s">
        <v>258</v>
      </c>
      <c r="K115" t="s">
        <v>149</v>
      </c>
      <c r="L115" t="s">
        <v>122</v>
      </c>
      <c r="M115" t="s">
        <v>27</v>
      </c>
      <c r="N115" t="s">
        <v>74</v>
      </c>
      <c r="O115" t="s">
        <v>29</v>
      </c>
      <c r="P115" t="s">
        <v>89</v>
      </c>
    </row>
    <row r="116" spans="1:16" x14ac:dyDescent="0.25">
      <c r="A116" t="s">
        <v>455</v>
      </c>
      <c r="B116" t="s">
        <v>31</v>
      </c>
      <c r="C116" t="s">
        <v>18</v>
      </c>
      <c r="D116" t="s">
        <v>459</v>
      </c>
      <c r="E116" t="s">
        <v>187</v>
      </c>
      <c r="F116" t="s">
        <v>35</v>
      </c>
      <c r="G116" t="s">
        <v>457</v>
      </c>
      <c r="J116" t="s">
        <v>460</v>
      </c>
      <c r="K116" t="s">
        <v>149</v>
      </c>
      <c r="L116" t="s">
        <v>122</v>
      </c>
      <c r="M116" t="s">
        <v>27</v>
      </c>
      <c r="N116" t="s">
        <v>74</v>
      </c>
      <c r="O116" t="s">
        <v>29</v>
      </c>
      <c r="P116" t="s">
        <v>89</v>
      </c>
    </row>
    <row r="117" spans="1:16" x14ac:dyDescent="0.25">
      <c r="A117" t="s">
        <v>461</v>
      </c>
      <c r="B117" t="s">
        <v>17</v>
      </c>
      <c r="C117" t="s">
        <v>18</v>
      </c>
      <c r="D117" t="s">
        <v>462</v>
      </c>
      <c r="E117" t="s">
        <v>187</v>
      </c>
      <c r="F117" t="s">
        <v>35</v>
      </c>
      <c r="G117" t="s">
        <v>463</v>
      </c>
      <c r="H117" t="s">
        <v>464</v>
      </c>
      <c r="J117" t="s">
        <v>465</v>
      </c>
      <c r="K117" t="s">
        <v>149</v>
      </c>
      <c r="L117" t="s">
        <v>466</v>
      </c>
      <c r="M117" t="s">
        <v>27</v>
      </c>
      <c r="N117" t="s">
        <v>74</v>
      </c>
      <c r="O117" t="s">
        <v>29</v>
      </c>
      <c r="P117" t="s">
        <v>89</v>
      </c>
    </row>
    <row r="118" spans="1:16" x14ac:dyDescent="0.25">
      <c r="A118" t="s">
        <v>461</v>
      </c>
      <c r="B118" t="s">
        <v>31</v>
      </c>
      <c r="C118" t="s">
        <v>18</v>
      </c>
      <c r="D118" t="s">
        <v>467</v>
      </c>
      <c r="E118" t="s">
        <v>187</v>
      </c>
      <c r="F118" t="s">
        <v>35</v>
      </c>
      <c r="G118" t="s">
        <v>463</v>
      </c>
      <c r="J118" t="s">
        <v>468</v>
      </c>
      <c r="K118" t="s">
        <v>149</v>
      </c>
      <c r="L118" t="s">
        <v>469</v>
      </c>
      <c r="M118" t="s">
        <v>27</v>
      </c>
      <c r="N118" t="s">
        <v>74</v>
      </c>
      <c r="O118" t="s">
        <v>29</v>
      </c>
      <c r="P118" t="s">
        <v>89</v>
      </c>
    </row>
    <row r="119" spans="1:16" x14ac:dyDescent="0.25">
      <c r="A119" t="s">
        <v>470</v>
      </c>
      <c r="B119" t="s">
        <v>17</v>
      </c>
      <c r="C119" t="s">
        <v>18</v>
      </c>
      <c r="D119" t="s">
        <v>471</v>
      </c>
      <c r="E119" t="s">
        <v>187</v>
      </c>
      <c r="F119" t="s">
        <v>35</v>
      </c>
      <c r="G119" t="s">
        <v>472</v>
      </c>
      <c r="H119" t="s">
        <v>473</v>
      </c>
      <c r="J119" t="s">
        <v>460</v>
      </c>
      <c r="K119" t="s">
        <v>149</v>
      </c>
      <c r="L119" t="s">
        <v>122</v>
      </c>
      <c r="M119" t="s">
        <v>27</v>
      </c>
      <c r="N119" t="s">
        <v>74</v>
      </c>
      <c r="O119" t="s">
        <v>29</v>
      </c>
      <c r="P119" t="s">
        <v>89</v>
      </c>
    </row>
    <row r="120" spans="1:16" x14ac:dyDescent="0.25">
      <c r="A120" t="s">
        <v>470</v>
      </c>
      <c r="B120" t="s">
        <v>31</v>
      </c>
      <c r="C120" t="s">
        <v>18</v>
      </c>
      <c r="D120" t="s">
        <v>474</v>
      </c>
      <c r="E120" t="s">
        <v>187</v>
      </c>
      <c r="F120" t="s">
        <v>35</v>
      </c>
      <c r="G120" t="s">
        <v>472</v>
      </c>
      <c r="J120" t="s">
        <v>475</v>
      </c>
      <c r="K120" t="s">
        <v>149</v>
      </c>
      <c r="L120" t="s">
        <v>122</v>
      </c>
      <c r="M120" t="s">
        <v>27</v>
      </c>
      <c r="N120" t="s">
        <v>74</v>
      </c>
      <c r="O120" t="s">
        <v>29</v>
      </c>
      <c r="P120" t="s">
        <v>89</v>
      </c>
    </row>
    <row r="121" spans="1:16" x14ac:dyDescent="0.25">
      <c r="A121" t="s">
        <v>476</v>
      </c>
      <c r="B121" t="s">
        <v>17</v>
      </c>
      <c r="C121" t="s">
        <v>18</v>
      </c>
      <c r="D121" t="s">
        <v>477</v>
      </c>
      <c r="E121" t="s">
        <v>187</v>
      </c>
      <c r="F121" t="s">
        <v>35</v>
      </c>
      <c r="G121" t="s">
        <v>478</v>
      </c>
      <c r="H121" t="s">
        <v>479</v>
      </c>
      <c r="J121" t="s">
        <v>475</v>
      </c>
      <c r="K121" t="s">
        <v>149</v>
      </c>
      <c r="L121" t="s">
        <v>480</v>
      </c>
      <c r="M121" t="s">
        <v>27</v>
      </c>
      <c r="N121" t="s">
        <v>74</v>
      </c>
      <c r="O121" t="s">
        <v>29</v>
      </c>
      <c r="P121" t="s">
        <v>89</v>
      </c>
    </row>
    <row r="122" spans="1:16" x14ac:dyDescent="0.25">
      <c r="A122" t="s">
        <v>476</v>
      </c>
      <c r="B122" t="s">
        <v>31</v>
      </c>
      <c r="C122" t="s">
        <v>18</v>
      </c>
      <c r="D122" t="s">
        <v>481</v>
      </c>
      <c r="E122" t="s">
        <v>187</v>
      </c>
      <c r="F122" t="s">
        <v>35</v>
      </c>
      <c r="G122" t="s">
        <v>478</v>
      </c>
      <c r="J122" t="s">
        <v>460</v>
      </c>
      <c r="K122" t="s">
        <v>149</v>
      </c>
      <c r="L122" t="s">
        <v>482</v>
      </c>
      <c r="M122" t="s">
        <v>27</v>
      </c>
      <c r="N122" t="s">
        <v>74</v>
      </c>
      <c r="O122" t="s">
        <v>29</v>
      </c>
      <c r="P122" t="s">
        <v>89</v>
      </c>
    </row>
    <row r="123" spans="1:16" x14ac:dyDescent="0.25">
      <c r="A123" t="s">
        <v>483</v>
      </c>
      <c r="B123" t="s">
        <v>17</v>
      </c>
      <c r="C123" t="s">
        <v>18</v>
      </c>
      <c r="D123" t="s">
        <v>484</v>
      </c>
      <c r="E123" t="s">
        <v>187</v>
      </c>
      <c r="F123" t="s">
        <v>35</v>
      </c>
      <c r="G123" t="s">
        <v>485</v>
      </c>
      <c r="H123" t="s">
        <v>486</v>
      </c>
      <c r="J123" t="s">
        <v>465</v>
      </c>
      <c r="K123" t="s">
        <v>149</v>
      </c>
      <c r="L123" t="s">
        <v>122</v>
      </c>
      <c r="M123" t="s">
        <v>27</v>
      </c>
      <c r="N123" t="s">
        <v>74</v>
      </c>
      <c r="O123" t="s">
        <v>29</v>
      </c>
      <c r="P123" t="s">
        <v>89</v>
      </c>
    </row>
    <row r="124" spans="1:16" x14ac:dyDescent="0.25">
      <c r="A124" t="s">
        <v>483</v>
      </c>
      <c r="B124" t="s">
        <v>31</v>
      </c>
      <c r="C124" t="s">
        <v>18</v>
      </c>
      <c r="D124" t="s">
        <v>487</v>
      </c>
      <c r="E124" t="s">
        <v>187</v>
      </c>
      <c r="F124" t="s">
        <v>35</v>
      </c>
      <c r="G124" t="s">
        <v>485</v>
      </c>
      <c r="J124" t="s">
        <v>488</v>
      </c>
      <c r="K124" t="s">
        <v>149</v>
      </c>
      <c r="L124" t="s">
        <v>122</v>
      </c>
      <c r="M124" t="s">
        <v>27</v>
      </c>
      <c r="N124" t="s">
        <v>74</v>
      </c>
      <c r="O124" t="s">
        <v>29</v>
      </c>
      <c r="P124" t="s">
        <v>89</v>
      </c>
    </row>
    <row r="125" spans="1:16" x14ac:dyDescent="0.25">
      <c r="A125" t="s">
        <v>489</v>
      </c>
      <c r="B125" t="s">
        <v>17</v>
      </c>
      <c r="C125" t="s">
        <v>18</v>
      </c>
      <c r="D125" t="s">
        <v>490</v>
      </c>
      <c r="E125" t="s">
        <v>187</v>
      </c>
      <c r="F125" t="s">
        <v>35</v>
      </c>
      <c r="G125" t="s">
        <v>491</v>
      </c>
      <c r="H125" t="s">
        <v>492</v>
      </c>
      <c r="J125" t="s">
        <v>475</v>
      </c>
      <c r="K125" t="s">
        <v>149</v>
      </c>
      <c r="L125" t="s">
        <v>493</v>
      </c>
      <c r="M125" t="s">
        <v>27</v>
      </c>
      <c r="N125" t="s">
        <v>74</v>
      </c>
      <c r="O125" t="s">
        <v>29</v>
      </c>
      <c r="P125" t="s">
        <v>89</v>
      </c>
    </row>
    <row r="126" spans="1:16" x14ac:dyDescent="0.25">
      <c r="A126" t="s">
        <v>489</v>
      </c>
      <c r="B126" t="s">
        <v>31</v>
      </c>
      <c r="C126" t="s">
        <v>18</v>
      </c>
      <c r="D126" t="s">
        <v>494</v>
      </c>
      <c r="E126" t="s">
        <v>187</v>
      </c>
      <c r="F126" t="s">
        <v>35</v>
      </c>
      <c r="G126" t="s">
        <v>491</v>
      </c>
      <c r="J126" t="s">
        <v>495</v>
      </c>
      <c r="K126" t="s">
        <v>149</v>
      </c>
      <c r="L126" t="s">
        <v>496</v>
      </c>
      <c r="M126" t="s">
        <v>27</v>
      </c>
      <c r="N126" t="s">
        <v>74</v>
      </c>
      <c r="O126" t="s">
        <v>29</v>
      </c>
      <c r="P126" t="s">
        <v>89</v>
      </c>
    </row>
    <row r="127" spans="1:16" x14ac:dyDescent="0.25">
      <c r="A127" t="s">
        <v>497</v>
      </c>
      <c r="B127" t="s">
        <v>17</v>
      </c>
      <c r="C127" t="s">
        <v>18</v>
      </c>
      <c r="D127" t="s">
        <v>498</v>
      </c>
      <c r="E127" t="s">
        <v>187</v>
      </c>
      <c r="F127" t="s">
        <v>35</v>
      </c>
      <c r="G127" t="s">
        <v>499</v>
      </c>
      <c r="H127" t="s">
        <v>500</v>
      </c>
      <c r="J127" t="s">
        <v>501</v>
      </c>
      <c r="K127" t="s">
        <v>149</v>
      </c>
      <c r="L127" t="s">
        <v>122</v>
      </c>
      <c r="M127" t="s">
        <v>27</v>
      </c>
      <c r="N127" t="s">
        <v>74</v>
      </c>
      <c r="O127" t="s">
        <v>29</v>
      </c>
      <c r="P127" t="s">
        <v>89</v>
      </c>
    </row>
    <row r="128" spans="1:16" x14ac:dyDescent="0.25">
      <c r="A128" t="s">
        <v>497</v>
      </c>
      <c r="B128" t="s">
        <v>31</v>
      </c>
      <c r="C128" t="s">
        <v>18</v>
      </c>
      <c r="D128" t="s">
        <v>502</v>
      </c>
      <c r="E128" t="s">
        <v>187</v>
      </c>
      <c r="F128" t="s">
        <v>35</v>
      </c>
      <c r="G128" t="s">
        <v>499</v>
      </c>
      <c r="J128" t="s">
        <v>503</v>
      </c>
      <c r="K128" t="s">
        <v>149</v>
      </c>
      <c r="L128" t="s">
        <v>122</v>
      </c>
      <c r="M128" t="s">
        <v>27</v>
      </c>
      <c r="N128" t="s">
        <v>74</v>
      </c>
      <c r="O128" t="s">
        <v>29</v>
      </c>
      <c r="P128" t="s">
        <v>89</v>
      </c>
    </row>
    <row r="129" spans="1:16" x14ac:dyDescent="0.25">
      <c r="A129" t="s">
        <v>504</v>
      </c>
      <c r="B129" t="s">
        <v>17</v>
      </c>
      <c r="C129" t="s">
        <v>18</v>
      </c>
      <c r="D129" t="s">
        <v>505</v>
      </c>
      <c r="E129" t="s">
        <v>187</v>
      </c>
      <c r="F129" t="s">
        <v>35</v>
      </c>
      <c r="G129" t="s">
        <v>506</v>
      </c>
      <c r="H129" t="s">
        <v>507</v>
      </c>
      <c r="J129" t="s">
        <v>508</v>
      </c>
      <c r="K129" t="s">
        <v>149</v>
      </c>
      <c r="L129" t="s">
        <v>509</v>
      </c>
      <c r="M129" t="s">
        <v>27</v>
      </c>
      <c r="N129" t="s">
        <v>74</v>
      </c>
      <c r="O129" t="s">
        <v>29</v>
      </c>
      <c r="P129" t="s">
        <v>510</v>
      </c>
    </row>
    <row r="130" spans="1:16" x14ac:dyDescent="0.25">
      <c r="A130" t="s">
        <v>504</v>
      </c>
      <c r="B130" t="s">
        <v>31</v>
      </c>
      <c r="C130" t="s">
        <v>18</v>
      </c>
      <c r="D130" t="s">
        <v>511</v>
      </c>
      <c r="E130" t="s">
        <v>187</v>
      </c>
      <c r="F130" t="s">
        <v>35</v>
      </c>
      <c r="G130" t="s">
        <v>506</v>
      </c>
      <c r="J130" t="s">
        <v>512</v>
      </c>
      <c r="K130" t="s">
        <v>149</v>
      </c>
      <c r="L130" t="s">
        <v>509</v>
      </c>
      <c r="M130" t="s">
        <v>27</v>
      </c>
      <c r="N130" t="s">
        <v>74</v>
      </c>
      <c r="O130" t="s">
        <v>29</v>
      </c>
      <c r="P130" t="s">
        <v>510</v>
      </c>
    </row>
    <row r="131" spans="1:16" x14ac:dyDescent="0.25">
      <c r="A131" t="s">
        <v>513</v>
      </c>
      <c r="B131" t="s">
        <v>17</v>
      </c>
      <c r="C131" t="s">
        <v>18</v>
      </c>
      <c r="D131" t="s">
        <v>514</v>
      </c>
      <c r="E131" t="s">
        <v>187</v>
      </c>
      <c r="F131" t="s">
        <v>35</v>
      </c>
      <c r="G131" t="s">
        <v>515</v>
      </c>
      <c r="H131" t="s">
        <v>516</v>
      </c>
      <c r="J131" t="s">
        <v>517</v>
      </c>
      <c r="K131" t="s">
        <v>149</v>
      </c>
      <c r="L131" t="s">
        <v>122</v>
      </c>
      <c r="M131" t="s">
        <v>27</v>
      </c>
      <c r="N131" t="s">
        <v>74</v>
      </c>
      <c r="O131" t="s">
        <v>29</v>
      </c>
      <c r="P131" t="s">
        <v>89</v>
      </c>
    </row>
    <row r="132" spans="1:16" x14ac:dyDescent="0.25">
      <c r="A132" t="s">
        <v>513</v>
      </c>
      <c r="B132" t="s">
        <v>31</v>
      </c>
      <c r="C132" t="s">
        <v>18</v>
      </c>
      <c r="D132" t="s">
        <v>518</v>
      </c>
      <c r="E132" t="s">
        <v>187</v>
      </c>
      <c r="F132" t="s">
        <v>35</v>
      </c>
      <c r="G132" t="s">
        <v>515</v>
      </c>
      <c r="J132" t="s">
        <v>495</v>
      </c>
      <c r="K132" t="s">
        <v>149</v>
      </c>
      <c r="L132" t="s">
        <v>122</v>
      </c>
      <c r="M132" t="s">
        <v>27</v>
      </c>
      <c r="N132" t="s">
        <v>74</v>
      </c>
      <c r="O132" t="s">
        <v>29</v>
      </c>
      <c r="P132" t="s">
        <v>89</v>
      </c>
    </row>
    <row r="133" spans="1:16" x14ac:dyDescent="0.25">
      <c r="A133" t="s">
        <v>519</v>
      </c>
      <c r="B133" t="s">
        <v>17</v>
      </c>
      <c r="C133" t="s">
        <v>18</v>
      </c>
      <c r="D133" t="s">
        <v>520</v>
      </c>
      <c r="E133" t="s">
        <v>187</v>
      </c>
      <c r="F133" t="s">
        <v>35</v>
      </c>
      <c r="G133" t="s">
        <v>521</v>
      </c>
      <c r="H133" t="s">
        <v>522</v>
      </c>
      <c r="J133" t="s">
        <v>523</v>
      </c>
      <c r="K133" t="s">
        <v>149</v>
      </c>
      <c r="L133" t="s">
        <v>524</v>
      </c>
      <c r="M133" t="s">
        <v>27</v>
      </c>
      <c r="N133" t="s">
        <v>74</v>
      </c>
      <c r="O133" t="s">
        <v>29</v>
      </c>
      <c r="P133" t="s">
        <v>89</v>
      </c>
    </row>
    <row r="134" spans="1:16" x14ac:dyDescent="0.25">
      <c r="A134" t="s">
        <v>519</v>
      </c>
      <c r="B134" t="s">
        <v>31</v>
      </c>
      <c r="C134" t="s">
        <v>18</v>
      </c>
      <c r="D134" t="s">
        <v>525</v>
      </c>
      <c r="E134" t="s">
        <v>187</v>
      </c>
      <c r="F134" t="s">
        <v>35</v>
      </c>
      <c r="G134" t="s">
        <v>521</v>
      </c>
      <c r="J134" t="s">
        <v>526</v>
      </c>
      <c r="K134" t="s">
        <v>149</v>
      </c>
      <c r="L134" t="s">
        <v>527</v>
      </c>
      <c r="M134" t="s">
        <v>27</v>
      </c>
      <c r="N134" t="s">
        <v>74</v>
      </c>
      <c r="O134" t="s">
        <v>29</v>
      </c>
      <c r="P134" t="s">
        <v>89</v>
      </c>
    </row>
    <row r="135" spans="1:16" x14ac:dyDescent="0.25">
      <c r="A135" t="s">
        <v>528</v>
      </c>
      <c r="B135" t="s">
        <v>17</v>
      </c>
      <c r="C135" t="s">
        <v>18</v>
      </c>
      <c r="D135" t="s">
        <v>529</v>
      </c>
      <c r="E135" t="s">
        <v>187</v>
      </c>
      <c r="F135" t="s">
        <v>35</v>
      </c>
      <c r="G135" t="s">
        <v>530</v>
      </c>
      <c r="H135" t="s">
        <v>531</v>
      </c>
      <c r="J135" t="s">
        <v>532</v>
      </c>
      <c r="K135" t="s">
        <v>149</v>
      </c>
      <c r="L135" t="s">
        <v>95</v>
      </c>
      <c r="M135" t="s">
        <v>27</v>
      </c>
      <c r="N135" t="s">
        <v>74</v>
      </c>
      <c r="O135" t="s">
        <v>29</v>
      </c>
      <c r="P135" t="s">
        <v>89</v>
      </c>
    </row>
    <row r="136" spans="1:16" x14ac:dyDescent="0.25">
      <c r="A136" t="s">
        <v>528</v>
      </c>
      <c r="B136" t="s">
        <v>31</v>
      </c>
      <c r="C136" t="s">
        <v>18</v>
      </c>
      <c r="D136" t="s">
        <v>533</v>
      </c>
      <c r="E136" t="s">
        <v>187</v>
      </c>
      <c r="F136" t="s">
        <v>35</v>
      </c>
      <c r="G136" t="s">
        <v>530</v>
      </c>
      <c r="J136" t="s">
        <v>534</v>
      </c>
      <c r="K136" t="s">
        <v>149</v>
      </c>
      <c r="L136" t="s">
        <v>95</v>
      </c>
      <c r="M136" t="s">
        <v>27</v>
      </c>
      <c r="N136" t="s">
        <v>74</v>
      </c>
      <c r="O136" t="s">
        <v>29</v>
      </c>
      <c r="P136" t="s">
        <v>89</v>
      </c>
    </row>
    <row r="137" spans="1:16" x14ac:dyDescent="0.25">
      <c r="A137" t="s">
        <v>535</v>
      </c>
      <c r="B137" t="s">
        <v>17</v>
      </c>
      <c r="C137" t="s">
        <v>18</v>
      </c>
      <c r="D137" t="s">
        <v>536</v>
      </c>
      <c r="E137" t="s">
        <v>187</v>
      </c>
      <c r="F137" t="s">
        <v>35</v>
      </c>
      <c r="G137" t="s">
        <v>537</v>
      </c>
      <c r="H137" t="s">
        <v>538</v>
      </c>
      <c r="J137" t="s">
        <v>539</v>
      </c>
      <c r="K137" t="s">
        <v>149</v>
      </c>
      <c r="L137" t="s">
        <v>540</v>
      </c>
      <c r="M137" t="s">
        <v>27</v>
      </c>
      <c r="N137" t="s">
        <v>74</v>
      </c>
      <c r="O137" t="s">
        <v>29</v>
      </c>
      <c r="P137" t="s">
        <v>89</v>
      </c>
    </row>
    <row r="138" spans="1:16" x14ac:dyDescent="0.25">
      <c r="A138" t="s">
        <v>535</v>
      </c>
      <c r="B138" t="s">
        <v>31</v>
      </c>
      <c r="C138" t="s">
        <v>18</v>
      </c>
      <c r="D138" t="s">
        <v>541</v>
      </c>
      <c r="E138" t="s">
        <v>187</v>
      </c>
      <c r="F138" t="s">
        <v>35</v>
      </c>
      <c r="G138" t="s">
        <v>537</v>
      </c>
      <c r="J138" t="s">
        <v>542</v>
      </c>
      <c r="K138" t="s">
        <v>149</v>
      </c>
      <c r="L138" t="s">
        <v>543</v>
      </c>
      <c r="M138" t="s">
        <v>27</v>
      </c>
      <c r="N138" t="s">
        <v>74</v>
      </c>
      <c r="O138" t="s">
        <v>29</v>
      </c>
      <c r="P138" t="s">
        <v>89</v>
      </c>
    </row>
    <row r="139" spans="1:16" x14ac:dyDescent="0.25">
      <c r="A139" t="s">
        <v>544</v>
      </c>
      <c r="B139" t="s">
        <v>17</v>
      </c>
      <c r="C139" t="s">
        <v>18</v>
      </c>
      <c r="D139" t="s">
        <v>545</v>
      </c>
      <c r="E139" t="s">
        <v>187</v>
      </c>
      <c r="F139" t="s">
        <v>35</v>
      </c>
      <c r="G139" t="s">
        <v>546</v>
      </c>
      <c r="H139" t="s">
        <v>547</v>
      </c>
      <c r="J139" t="s">
        <v>548</v>
      </c>
      <c r="K139" t="s">
        <v>149</v>
      </c>
      <c r="L139" t="s">
        <v>122</v>
      </c>
      <c r="M139" t="s">
        <v>27</v>
      </c>
      <c r="N139" t="s">
        <v>74</v>
      </c>
      <c r="O139" t="s">
        <v>29</v>
      </c>
      <c r="P139" t="s">
        <v>89</v>
      </c>
    </row>
    <row r="140" spans="1:16" x14ac:dyDescent="0.25">
      <c r="A140" t="s">
        <v>544</v>
      </c>
      <c r="B140" t="s">
        <v>31</v>
      </c>
      <c r="C140" t="s">
        <v>18</v>
      </c>
      <c r="D140" t="s">
        <v>549</v>
      </c>
      <c r="E140" t="s">
        <v>187</v>
      </c>
      <c r="F140" t="s">
        <v>35</v>
      </c>
      <c r="G140" t="s">
        <v>546</v>
      </c>
      <c r="J140" t="s">
        <v>550</v>
      </c>
      <c r="K140" t="s">
        <v>149</v>
      </c>
      <c r="L140" t="s">
        <v>122</v>
      </c>
      <c r="M140" t="s">
        <v>27</v>
      </c>
      <c r="N140" t="s">
        <v>74</v>
      </c>
      <c r="O140" t="s">
        <v>29</v>
      </c>
      <c r="P140" t="s">
        <v>89</v>
      </c>
    </row>
    <row r="141" spans="1:16" x14ac:dyDescent="0.25">
      <c r="A141" t="s">
        <v>551</v>
      </c>
      <c r="B141" t="s">
        <v>17</v>
      </c>
      <c r="C141" t="s">
        <v>18</v>
      </c>
      <c r="D141" t="s">
        <v>552</v>
      </c>
      <c r="E141" t="s">
        <v>187</v>
      </c>
      <c r="F141" t="s">
        <v>35</v>
      </c>
      <c r="G141" t="s">
        <v>553</v>
      </c>
      <c r="H141" t="s">
        <v>554</v>
      </c>
      <c r="J141" t="s">
        <v>555</v>
      </c>
      <c r="K141" t="s">
        <v>149</v>
      </c>
      <c r="L141" t="s">
        <v>556</v>
      </c>
      <c r="M141" t="s">
        <v>27</v>
      </c>
      <c r="N141" t="s">
        <v>74</v>
      </c>
      <c r="O141" t="s">
        <v>29</v>
      </c>
      <c r="P141" t="s">
        <v>89</v>
      </c>
    </row>
    <row r="142" spans="1:16" x14ac:dyDescent="0.25">
      <c r="A142" t="s">
        <v>551</v>
      </c>
      <c r="B142" t="s">
        <v>31</v>
      </c>
      <c r="C142" t="s">
        <v>18</v>
      </c>
      <c r="D142" t="s">
        <v>557</v>
      </c>
      <c r="E142" t="s">
        <v>187</v>
      </c>
      <c r="F142" t="s">
        <v>35</v>
      </c>
      <c r="G142" t="s">
        <v>553</v>
      </c>
      <c r="J142" t="s">
        <v>558</v>
      </c>
      <c r="K142" t="s">
        <v>149</v>
      </c>
      <c r="L142" t="s">
        <v>559</v>
      </c>
      <c r="M142" t="s">
        <v>27</v>
      </c>
      <c r="N142" t="s">
        <v>74</v>
      </c>
      <c r="O142" t="s">
        <v>29</v>
      </c>
      <c r="P142" t="s">
        <v>89</v>
      </c>
    </row>
    <row r="143" spans="1:16" x14ac:dyDescent="0.25">
      <c r="A143" t="s">
        <v>560</v>
      </c>
      <c r="B143" t="s">
        <v>17</v>
      </c>
      <c r="C143" t="s">
        <v>18</v>
      </c>
      <c r="D143" t="s">
        <v>561</v>
      </c>
      <c r="E143" t="s">
        <v>187</v>
      </c>
      <c r="F143" t="s">
        <v>35</v>
      </c>
      <c r="G143" t="s">
        <v>562</v>
      </c>
      <c r="H143" t="s">
        <v>563</v>
      </c>
      <c r="J143" t="s">
        <v>564</v>
      </c>
      <c r="K143" t="s">
        <v>149</v>
      </c>
      <c r="L143" t="s">
        <v>122</v>
      </c>
      <c r="M143" t="s">
        <v>27</v>
      </c>
      <c r="N143" t="s">
        <v>74</v>
      </c>
      <c r="O143" t="s">
        <v>29</v>
      </c>
      <c r="P143" t="s">
        <v>89</v>
      </c>
    </row>
    <row r="144" spans="1:16" x14ac:dyDescent="0.25">
      <c r="A144" t="s">
        <v>560</v>
      </c>
      <c r="B144" t="s">
        <v>31</v>
      </c>
      <c r="C144" t="s">
        <v>18</v>
      </c>
      <c r="D144" t="s">
        <v>565</v>
      </c>
      <c r="E144" t="s">
        <v>187</v>
      </c>
      <c r="F144" t="s">
        <v>35</v>
      </c>
      <c r="G144" t="s">
        <v>562</v>
      </c>
      <c r="J144" t="s">
        <v>566</v>
      </c>
      <c r="K144" t="s">
        <v>149</v>
      </c>
      <c r="L144" t="s">
        <v>122</v>
      </c>
      <c r="M144" t="s">
        <v>27</v>
      </c>
      <c r="N144" t="s">
        <v>74</v>
      </c>
      <c r="O144" t="s">
        <v>29</v>
      </c>
      <c r="P144" t="s">
        <v>89</v>
      </c>
    </row>
    <row r="145" spans="1:16" x14ac:dyDescent="0.25">
      <c r="A145" t="s">
        <v>567</v>
      </c>
      <c r="B145" t="s">
        <v>17</v>
      </c>
      <c r="C145" t="s">
        <v>18</v>
      </c>
      <c r="D145" t="s">
        <v>568</v>
      </c>
      <c r="E145" t="s">
        <v>187</v>
      </c>
      <c r="F145" t="s">
        <v>35</v>
      </c>
      <c r="G145" t="s">
        <v>569</v>
      </c>
      <c r="H145" t="s">
        <v>570</v>
      </c>
      <c r="J145" t="s">
        <v>558</v>
      </c>
      <c r="K145" t="s">
        <v>149</v>
      </c>
      <c r="L145" t="s">
        <v>571</v>
      </c>
      <c r="M145" t="s">
        <v>27</v>
      </c>
      <c r="N145" t="s">
        <v>74</v>
      </c>
      <c r="O145" t="s">
        <v>29</v>
      </c>
      <c r="P145" t="s">
        <v>89</v>
      </c>
    </row>
    <row r="146" spans="1:16" x14ac:dyDescent="0.25">
      <c r="A146" t="s">
        <v>567</v>
      </c>
      <c r="B146" t="s">
        <v>31</v>
      </c>
      <c r="C146" t="s">
        <v>18</v>
      </c>
      <c r="D146" t="s">
        <v>572</v>
      </c>
      <c r="E146" t="s">
        <v>187</v>
      </c>
      <c r="F146" t="s">
        <v>35</v>
      </c>
      <c r="G146" t="s">
        <v>569</v>
      </c>
      <c r="J146" t="s">
        <v>555</v>
      </c>
      <c r="K146" t="s">
        <v>149</v>
      </c>
      <c r="L146" t="s">
        <v>571</v>
      </c>
      <c r="M146" t="s">
        <v>27</v>
      </c>
      <c r="N146" t="s">
        <v>74</v>
      </c>
      <c r="O146" t="s">
        <v>29</v>
      </c>
      <c r="P146" t="s">
        <v>89</v>
      </c>
    </row>
    <row r="147" spans="1:16" x14ac:dyDescent="0.25">
      <c r="A147" t="s">
        <v>573</v>
      </c>
      <c r="B147" t="s">
        <v>17</v>
      </c>
      <c r="C147" t="s">
        <v>18</v>
      </c>
      <c r="D147" t="s">
        <v>574</v>
      </c>
      <c r="E147" t="s">
        <v>187</v>
      </c>
      <c r="F147" t="s">
        <v>35</v>
      </c>
      <c r="G147" t="s">
        <v>575</v>
      </c>
      <c r="H147" t="s">
        <v>576</v>
      </c>
      <c r="J147" t="s">
        <v>577</v>
      </c>
      <c r="K147" t="s">
        <v>149</v>
      </c>
      <c r="L147" t="s">
        <v>122</v>
      </c>
      <c r="M147" t="s">
        <v>27</v>
      </c>
      <c r="N147" t="s">
        <v>74</v>
      </c>
      <c r="O147" t="s">
        <v>29</v>
      </c>
      <c r="P147" t="s">
        <v>89</v>
      </c>
    </row>
    <row r="148" spans="1:16" x14ac:dyDescent="0.25">
      <c r="A148" t="s">
        <v>573</v>
      </c>
      <c r="B148" t="s">
        <v>31</v>
      </c>
      <c r="C148" t="s">
        <v>18</v>
      </c>
      <c r="D148" t="s">
        <v>578</v>
      </c>
      <c r="E148" t="s">
        <v>187</v>
      </c>
      <c r="F148" t="s">
        <v>35</v>
      </c>
      <c r="G148" t="s">
        <v>575</v>
      </c>
      <c r="J148" t="s">
        <v>558</v>
      </c>
      <c r="K148" t="s">
        <v>149</v>
      </c>
      <c r="L148" t="s">
        <v>122</v>
      </c>
      <c r="M148" t="s">
        <v>27</v>
      </c>
      <c r="N148" t="s">
        <v>74</v>
      </c>
      <c r="O148" t="s">
        <v>29</v>
      </c>
      <c r="P148" t="s">
        <v>89</v>
      </c>
    </row>
    <row r="149" spans="1:16" x14ac:dyDescent="0.25">
      <c r="A149" t="s">
        <v>579</v>
      </c>
      <c r="B149" t="s">
        <v>17</v>
      </c>
      <c r="C149" t="s">
        <v>18</v>
      </c>
      <c r="D149" t="s">
        <v>580</v>
      </c>
      <c r="E149" t="s">
        <v>187</v>
      </c>
      <c r="F149" t="s">
        <v>35</v>
      </c>
      <c r="G149" t="s">
        <v>581</v>
      </c>
      <c r="H149" t="s">
        <v>582</v>
      </c>
      <c r="J149" t="s">
        <v>583</v>
      </c>
      <c r="K149" t="s">
        <v>149</v>
      </c>
      <c r="L149" t="s">
        <v>205</v>
      </c>
      <c r="M149" t="s">
        <v>27</v>
      </c>
      <c r="N149" t="s">
        <v>74</v>
      </c>
      <c r="O149" t="s">
        <v>29</v>
      </c>
      <c r="P149" t="s">
        <v>89</v>
      </c>
    </row>
    <row r="150" spans="1:16" x14ac:dyDescent="0.25">
      <c r="A150" t="s">
        <v>579</v>
      </c>
      <c r="B150" t="s">
        <v>31</v>
      </c>
      <c r="C150" t="s">
        <v>18</v>
      </c>
      <c r="D150" t="s">
        <v>584</v>
      </c>
      <c r="E150" t="s">
        <v>187</v>
      </c>
      <c r="F150" t="s">
        <v>35</v>
      </c>
      <c r="G150" t="s">
        <v>581</v>
      </c>
      <c r="J150" t="s">
        <v>585</v>
      </c>
      <c r="K150" t="s">
        <v>149</v>
      </c>
      <c r="L150" t="s">
        <v>586</v>
      </c>
      <c r="M150" t="s">
        <v>27</v>
      </c>
      <c r="N150" t="s">
        <v>74</v>
      </c>
      <c r="O150" t="s">
        <v>29</v>
      </c>
      <c r="P150" t="s">
        <v>89</v>
      </c>
    </row>
    <row r="151" spans="1:16" x14ac:dyDescent="0.25">
      <c r="A151" t="s">
        <v>587</v>
      </c>
      <c r="B151" t="s">
        <v>17</v>
      </c>
      <c r="C151" t="s">
        <v>18</v>
      </c>
      <c r="D151" t="s">
        <v>588</v>
      </c>
      <c r="E151" t="s">
        <v>187</v>
      </c>
      <c r="F151" t="s">
        <v>35</v>
      </c>
      <c r="G151" t="s">
        <v>589</v>
      </c>
      <c r="H151" t="s">
        <v>590</v>
      </c>
      <c r="J151" t="s">
        <v>577</v>
      </c>
      <c r="K151" t="s">
        <v>149</v>
      </c>
      <c r="L151" t="s">
        <v>122</v>
      </c>
      <c r="M151" t="s">
        <v>27</v>
      </c>
      <c r="N151" t="s">
        <v>74</v>
      </c>
      <c r="O151" t="s">
        <v>29</v>
      </c>
      <c r="P151" t="s">
        <v>89</v>
      </c>
    </row>
    <row r="152" spans="1:16" x14ac:dyDescent="0.25">
      <c r="A152" t="s">
        <v>587</v>
      </c>
      <c r="B152" t="s">
        <v>31</v>
      </c>
      <c r="C152" t="s">
        <v>18</v>
      </c>
      <c r="D152" t="s">
        <v>591</v>
      </c>
      <c r="E152" t="s">
        <v>187</v>
      </c>
      <c r="F152" t="s">
        <v>35</v>
      </c>
      <c r="G152" t="s">
        <v>589</v>
      </c>
      <c r="J152" t="s">
        <v>512</v>
      </c>
      <c r="K152" t="s">
        <v>149</v>
      </c>
      <c r="L152" t="s">
        <v>122</v>
      </c>
      <c r="M152" t="s">
        <v>27</v>
      </c>
      <c r="N152" t="s">
        <v>74</v>
      </c>
      <c r="O152" t="s">
        <v>29</v>
      </c>
      <c r="P152" t="s">
        <v>89</v>
      </c>
    </row>
    <row r="153" spans="1:16" x14ac:dyDescent="0.25">
      <c r="A153" t="s">
        <v>592</v>
      </c>
      <c r="B153" t="s">
        <v>17</v>
      </c>
      <c r="C153" t="s">
        <v>18</v>
      </c>
      <c r="D153" t="s">
        <v>593</v>
      </c>
      <c r="E153" t="s">
        <v>187</v>
      </c>
      <c r="F153" t="s">
        <v>35</v>
      </c>
      <c r="G153" t="s">
        <v>594</v>
      </c>
      <c r="H153" t="s">
        <v>595</v>
      </c>
      <c r="J153" t="s">
        <v>583</v>
      </c>
      <c r="K153" t="s">
        <v>149</v>
      </c>
      <c r="L153" t="s">
        <v>596</v>
      </c>
      <c r="M153" t="s">
        <v>27</v>
      </c>
      <c r="N153" t="s">
        <v>74</v>
      </c>
      <c r="O153" t="s">
        <v>29</v>
      </c>
      <c r="P153" t="s">
        <v>89</v>
      </c>
    </row>
    <row r="154" spans="1:16" x14ac:dyDescent="0.25">
      <c r="A154" t="s">
        <v>592</v>
      </c>
      <c r="B154" t="s">
        <v>31</v>
      </c>
      <c r="C154" t="s">
        <v>18</v>
      </c>
      <c r="D154" t="s">
        <v>597</v>
      </c>
      <c r="E154" t="s">
        <v>187</v>
      </c>
      <c r="F154" t="s">
        <v>35</v>
      </c>
      <c r="G154" t="s">
        <v>594</v>
      </c>
      <c r="J154" t="s">
        <v>585</v>
      </c>
      <c r="K154" t="s">
        <v>149</v>
      </c>
      <c r="L154" t="s">
        <v>598</v>
      </c>
      <c r="M154" t="s">
        <v>27</v>
      </c>
      <c r="N154" t="s">
        <v>74</v>
      </c>
      <c r="O154" t="s">
        <v>29</v>
      </c>
      <c r="P154" t="s">
        <v>89</v>
      </c>
    </row>
    <row r="155" spans="1:16" x14ac:dyDescent="0.25">
      <c r="A155" t="s">
        <v>599</v>
      </c>
      <c r="B155" t="s">
        <v>17</v>
      </c>
      <c r="C155" t="s">
        <v>18</v>
      </c>
      <c r="D155" t="s">
        <v>600</v>
      </c>
      <c r="E155" t="s">
        <v>187</v>
      </c>
      <c r="F155" t="s">
        <v>35</v>
      </c>
      <c r="G155" t="s">
        <v>601</v>
      </c>
      <c r="H155" t="s">
        <v>602</v>
      </c>
      <c r="J155" t="s">
        <v>603</v>
      </c>
      <c r="K155" t="s">
        <v>149</v>
      </c>
      <c r="L155" t="s">
        <v>480</v>
      </c>
      <c r="M155" t="s">
        <v>27</v>
      </c>
      <c r="N155" t="s">
        <v>74</v>
      </c>
      <c r="O155" t="s">
        <v>29</v>
      </c>
      <c r="P155" t="s">
        <v>89</v>
      </c>
    </row>
    <row r="156" spans="1:16" x14ac:dyDescent="0.25">
      <c r="A156" t="s">
        <v>599</v>
      </c>
      <c r="B156" t="s">
        <v>31</v>
      </c>
      <c r="C156" t="s">
        <v>18</v>
      </c>
      <c r="D156" t="s">
        <v>604</v>
      </c>
      <c r="E156" t="s">
        <v>187</v>
      </c>
      <c r="F156" t="s">
        <v>35</v>
      </c>
      <c r="G156" t="s">
        <v>601</v>
      </c>
      <c r="J156" t="s">
        <v>503</v>
      </c>
      <c r="K156" t="s">
        <v>149</v>
      </c>
      <c r="L156" t="s">
        <v>482</v>
      </c>
      <c r="M156" t="s">
        <v>27</v>
      </c>
      <c r="N156" t="s">
        <v>74</v>
      </c>
      <c r="O156" t="s">
        <v>29</v>
      </c>
      <c r="P156" t="s">
        <v>89</v>
      </c>
    </row>
    <row r="157" spans="1:16" x14ac:dyDescent="0.25">
      <c r="A157" t="s">
        <v>605</v>
      </c>
      <c r="B157" t="s">
        <v>17</v>
      </c>
      <c r="C157" t="s">
        <v>18</v>
      </c>
      <c r="D157" t="s">
        <v>606</v>
      </c>
      <c r="E157" t="s">
        <v>187</v>
      </c>
      <c r="F157" t="s">
        <v>35</v>
      </c>
      <c r="G157" t="s">
        <v>607</v>
      </c>
      <c r="H157" t="s">
        <v>608</v>
      </c>
      <c r="J157" t="s">
        <v>609</v>
      </c>
      <c r="K157" t="s">
        <v>149</v>
      </c>
      <c r="L157" t="s">
        <v>122</v>
      </c>
      <c r="M157" t="s">
        <v>27</v>
      </c>
      <c r="N157" t="s">
        <v>74</v>
      </c>
      <c r="O157" t="s">
        <v>29</v>
      </c>
      <c r="P157" t="s">
        <v>610</v>
      </c>
    </row>
    <row r="158" spans="1:16" x14ac:dyDescent="0.25">
      <c r="A158" t="s">
        <v>605</v>
      </c>
      <c r="B158" t="s">
        <v>31</v>
      </c>
      <c r="C158" t="s">
        <v>18</v>
      </c>
      <c r="D158" t="s">
        <v>611</v>
      </c>
      <c r="E158" t="s">
        <v>187</v>
      </c>
      <c r="F158" t="s">
        <v>35</v>
      </c>
      <c r="G158" t="s">
        <v>607</v>
      </c>
      <c r="J158" t="s">
        <v>512</v>
      </c>
      <c r="K158" t="s">
        <v>149</v>
      </c>
      <c r="L158" t="s">
        <v>122</v>
      </c>
      <c r="M158" t="s">
        <v>27</v>
      </c>
      <c r="N158" t="s">
        <v>74</v>
      </c>
      <c r="O158" t="s">
        <v>29</v>
      </c>
      <c r="P158" t="s">
        <v>610</v>
      </c>
    </row>
    <row r="159" spans="1:16" x14ac:dyDescent="0.25">
      <c r="A159" t="s">
        <v>612</v>
      </c>
      <c r="B159" t="s">
        <v>17</v>
      </c>
      <c r="C159" t="s">
        <v>18</v>
      </c>
      <c r="D159" t="s">
        <v>613</v>
      </c>
      <c r="E159" t="s">
        <v>187</v>
      </c>
      <c r="F159" t="s">
        <v>35</v>
      </c>
      <c r="G159" t="s">
        <v>614</v>
      </c>
      <c r="H159" t="s">
        <v>615</v>
      </c>
      <c r="J159" t="s">
        <v>616</v>
      </c>
      <c r="K159" t="s">
        <v>149</v>
      </c>
      <c r="L159" t="s">
        <v>617</v>
      </c>
      <c r="M159" t="s">
        <v>27</v>
      </c>
      <c r="N159" t="s">
        <v>74</v>
      </c>
      <c r="O159" t="s">
        <v>29</v>
      </c>
      <c r="P159" t="s">
        <v>618</v>
      </c>
    </row>
    <row r="160" spans="1:16" x14ac:dyDescent="0.25">
      <c r="A160" t="s">
        <v>612</v>
      </c>
      <c r="B160" t="s">
        <v>31</v>
      </c>
      <c r="C160" t="s">
        <v>18</v>
      </c>
      <c r="D160" t="s">
        <v>619</v>
      </c>
      <c r="E160" t="s">
        <v>187</v>
      </c>
      <c r="F160" t="s">
        <v>35</v>
      </c>
      <c r="G160" t="s">
        <v>614</v>
      </c>
      <c r="J160" t="s">
        <v>620</v>
      </c>
      <c r="K160" t="s">
        <v>149</v>
      </c>
      <c r="L160" t="s">
        <v>355</v>
      </c>
      <c r="M160" t="s">
        <v>27</v>
      </c>
      <c r="N160" t="s">
        <v>74</v>
      </c>
      <c r="O160" t="s">
        <v>29</v>
      </c>
      <c r="P160" t="s">
        <v>618</v>
      </c>
    </row>
    <row r="161" spans="1:16" x14ac:dyDescent="0.25">
      <c r="A161" t="s">
        <v>621</v>
      </c>
      <c r="B161" t="s">
        <v>17</v>
      </c>
      <c r="C161" t="s">
        <v>18</v>
      </c>
      <c r="D161" t="s">
        <v>622</v>
      </c>
      <c r="E161" t="s">
        <v>187</v>
      </c>
      <c r="F161" t="s">
        <v>35</v>
      </c>
      <c r="G161" t="s">
        <v>623</v>
      </c>
      <c r="H161" t="s">
        <v>624</v>
      </c>
      <c r="J161" t="s">
        <v>508</v>
      </c>
      <c r="K161" t="s">
        <v>149</v>
      </c>
      <c r="L161" t="s">
        <v>122</v>
      </c>
      <c r="M161" t="s">
        <v>27</v>
      </c>
      <c r="N161" t="s">
        <v>74</v>
      </c>
      <c r="O161" t="s">
        <v>29</v>
      </c>
      <c r="P161" t="s">
        <v>625</v>
      </c>
    </row>
    <row r="162" spans="1:16" x14ac:dyDescent="0.25">
      <c r="A162" t="s">
        <v>621</v>
      </c>
      <c r="B162" t="s">
        <v>31</v>
      </c>
      <c r="C162" t="s">
        <v>18</v>
      </c>
      <c r="D162" t="s">
        <v>626</v>
      </c>
      <c r="E162" t="s">
        <v>187</v>
      </c>
      <c r="F162" t="s">
        <v>35</v>
      </c>
      <c r="G162" t="s">
        <v>623</v>
      </c>
      <c r="J162" t="s">
        <v>512</v>
      </c>
      <c r="K162" t="s">
        <v>149</v>
      </c>
      <c r="L162" t="s">
        <v>122</v>
      </c>
      <c r="M162" t="s">
        <v>27</v>
      </c>
      <c r="N162" t="s">
        <v>74</v>
      </c>
      <c r="O162" t="s">
        <v>29</v>
      </c>
      <c r="P162" t="s">
        <v>625</v>
      </c>
    </row>
    <row r="163" spans="1:16" x14ac:dyDescent="0.25">
      <c r="A163" t="s">
        <v>627</v>
      </c>
      <c r="B163" t="s">
        <v>17</v>
      </c>
      <c r="C163" t="s">
        <v>18</v>
      </c>
      <c r="D163" t="s">
        <v>628</v>
      </c>
      <c r="E163" t="s">
        <v>144</v>
      </c>
      <c r="F163" t="s">
        <v>35</v>
      </c>
      <c r="G163" t="s">
        <v>629</v>
      </c>
      <c r="H163" t="s">
        <v>630</v>
      </c>
      <c r="J163" t="s">
        <v>182</v>
      </c>
      <c r="K163" t="s">
        <v>149</v>
      </c>
      <c r="L163" t="s">
        <v>122</v>
      </c>
      <c r="M163" t="s">
        <v>27</v>
      </c>
      <c r="N163" t="s">
        <v>74</v>
      </c>
      <c r="O163" t="s">
        <v>29</v>
      </c>
      <c r="P163" t="s">
        <v>631</v>
      </c>
    </row>
    <row r="164" spans="1:16" x14ac:dyDescent="0.25">
      <c r="A164" t="s">
        <v>627</v>
      </c>
      <c r="B164" t="s">
        <v>31</v>
      </c>
      <c r="C164" t="s">
        <v>18</v>
      </c>
      <c r="D164" t="s">
        <v>632</v>
      </c>
      <c r="E164" t="s">
        <v>144</v>
      </c>
      <c r="F164" t="s">
        <v>35</v>
      </c>
      <c r="G164" t="s">
        <v>629</v>
      </c>
      <c r="J164" t="s">
        <v>184</v>
      </c>
      <c r="K164" t="s">
        <v>149</v>
      </c>
      <c r="L164" t="s">
        <v>122</v>
      </c>
      <c r="M164" t="s">
        <v>27</v>
      </c>
      <c r="N164" t="s">
        <v>74</v>
      </c>
      <c r="O164" t="s">
        <v>29</v>
      </c>
      <c r="P164" t="s">
        <v>631</v>
      </c>
    </row>
    <row r="165" spans="1:16" x14ac:dyDescent="0.25">
      <c r="A165" t="s">
        <v>633</v>
      </c>
      <c r="B165" t="s">
        <v>17</v>
      </c>
      <c r="C165" t="s">
        <v>18</v>
      </c>
      <c r="D165" t="s">
        <v>634</v>
      </c>
      <c r="E165" t="s">
        <v>187</v>
      </c>
      <c r="F165" t="s">
        <v>53</v>
      </c>
      <c r="G165" t="s">
        <v>635</v>
      </c>
      <c r="H165" t="s">
        <v>636</v>
      </c>
      <c r="J165" t="s">
        <v>637</v>
      </c>
      <c r="K165" t="s">
        <v>149</v>
      </c>
      <c r="L165" t="s">
        <v>95</v>
      </c>
      <c r="M165" t="s">
        <v>27</v>
      </c>
      <c r="N165" t="s">
        <v>74</v>
      </c>
      <c r="O165" t="s">
        <v>29</v>
      </c>
      <c r="P165" t="s">
        <v>610</v>
      </c>
    </row>
    <row r="166" spans="1:16" x14ac:dyDescent="0.25">
      <c r="A166" t="s">
        <v>633</v>
      </c>
      <c r="B166" t="s">
        <v>31</v>
      </c>
      <c r="C166" t="s">
        <v>18</v>
      </c>
      <c r="D166" t="s">
        <v>638</v>
      </c>
      <c r="E166" t="s">
        <v>187</v>
      </c>
      <c r="F166" t="s">
        <v>53</v>
      </c>
      <c r="G166" t="s">
        <v>635</v>
      </c>
      <c r="J166" t="s">
        <v>495</v>
      </c>
      <c r="K166" t="s">
        <v>149</v>
      </c>
      <c r="L166" t="s">
        <v>122</v>
      </c>
      <c r="M166" t="s">
        <v>27</v>
      </c>
      <c r="N166" t="s">
        <v>74</v>
      </c>
      <c r="O166" t="s">
        <v>29</v>
      </c>
      <c r="P166" t="s">
        <v>610</v>
      </c>
    </row>
    <row r="167" spans="1:16" x14ac:dyDescent="0.25">
      <c r="A167" t="s">
        <v>639</v>
      </c>
      <c r="B167" t="s">
        <v>17</v>
      </c>
      <c r="C167" t="s">
        <v>18</v>
      </c>
      <c r="D167" t="s">
        <v>640</v>
      </c>
      <c r="E167" t="s">
        <v>144</v>
      </c>
      <c r="F167" t="s">
        <v>641</v>
      </c>
      <c r="G167" t="s">
        <v>642</v>
      </c>
      <c r="H167" t="s">
        <v>643</v>
      </c>
      <c r="J167" t="s">
        <v>644</v>
      </c>
      <c r="K167" t="s">
        <v>149</v>
      </c>
      <c r="L167" t="s">
        <v>122</v>
      </c>
      <c r="M167" t="s">
        <v>27</v>
      </c>
      <c r="N167" t="s">
        <v>645</v>
      </c>
      <c r="O167" t="s">
        <v>29</v>
      </c>
      <c r="P167" t="s">
        <v>111</v>
      </c>
    </row>
    <row r="168" spans="1:16" x14ac:dyDescent="0.25">
      <c r="A168" t="s">
        <v>639</v>
      </c>
      <c r="B168" t="s">
        <v>31</v>
      </c>
      <c r="C168" t="s">
        <v>18</v>
      </c>
      <c r="D168" t="s">
        <v>646</v>
      </c>
      <c r="E168" t="s">
        <v>144</v>
      </c>
      <c r="F168" t="s">
        <v>641</v>
      </c>
      <c r="G168" t="s">
        <v>642</v>
      </c>
      <c r="J168" t="s">
        <v>647</v>
      </c>
      <c r="K168" t="s">
        <v>149</v>
      </c>
      <c r="L168" t="s">
        <v>122</v>
      </c>
      <c r="M168" t="s">
        <v>27</v>
      </c>
      <c r="N168" t="s">
        <v>645</v>
      </c>
      <c r="O168" t="s">
        <v>29</v>
      </c>
      <c r="P168" t="s">
        <v>111</v>
      </c>
    </row>
    <row r="169" spans="1:16" x14ac:dyDescent="0.25">
      <c r="A169" t="s">
        <v>648</v>
      </c>
      <c r="B169" t="s">
        <v>17</v>
      </c>
      <c r="C169" t="s">
        <v>18</v>
      </c>
      <c r="D169" t="s">
        <v>649</v>
      </c>
      <c r="E169" t="s">
        <v>144</v>
      </c>
      <c r="F169" t="s">
        <v>53</v>
      </c>
      <c r="G169" t="s">
        <v>650</v>
      </c>
      <c r="H169" t="s">
        <v>651</v>
      </c>
      <c r="J169" t="s">
        <v>652</v>
      </c>
      <c r="K169" t="s">
        <v>149</v>
      </c>
      <c r="L169" t="s">
        <v>122</v>
      </c>
      <c r="M169" t="s">
        <v>27</v>
      </c>
      <c r="N169" t="s">
        <v>74</v>
      </c>
      <c r="O169" t="s">
        <v>29</v>
      </c>
      <c r="P169" t="s">
        <v>89</v>
      </c>
    </row>
    <row r="170" spans="1:16" x14ac:dyDescent="0.25">
      <c r="A170" t="s">
        <v>648</v>
      </c>
      <c r="B170" t="s">
        <v>31</v>
      </c>
      <c r="C170" t="s">
        <v>18</v>
      </c>
      <c r="D170" t="s">
        <v>653</v>
      </c>
      <c r="E170" t="s">
        <v>144</v>
      </c>
      <c r="F170" t="s">
        <v>53</v>
      </c>
      <c r="G170" t="s">
        <v>650</v>
      </c>
      <c r="J170" t="s">
        <v>654</v>
      </c>
      <c r="K170" t="s">
        <v>149</v>
      </c>
      <c r="L170" t="s">
        <v>122</v>
      </c>
      <c r="M170" t="s">
        <v>27</v>
      </c>
      <c r="N170" t="s">
        <v>74</v>
      </c>
      <c r="O170" t="s">
        <v>29</v>
      </c>
      <c r="P170" t="s">
        <v>89</v>
      </c>
    </row>
    <row r="171" spans="1:16" x14ac:dyDescent="0.25">
      <c r="A171" t="s">
        <v>655</v>
      </c>
      <c r="B171" t="s">
        <v>17</v>
      </c>
      <c r="C171" t="s">
        <v>18</v>
      </c>
      <c r="D171" t="s">
        <v>656</v>
      </c>
      <c r="E171" t="s">
        <v>144</v>
      </c>
      <c r="F171" t="s">
        <v>53</v>
      </c>
      <c r="G171" t="s">
        <v>161</v>
      </c>
      <c r="H171" t="s">
        <v>657</v>
      </c>
      <c r="J171" t="s">
        <v>658</v>
      </c>
      <c r="K171" t="s">
        <v>149</v>
      </c>
      <c r="L171" t="s">
        <v>122</v>
      </c>
      <c r="M171" t="s">
        <v>27</v>
      </c>
      <c r="N171" t="s">
        <v>74</v>
      </c>
      <c r="O171" t="s">
        <v>29</v>
      </c>
      <c r="P171" t="s">
        <v>89</v>
      </c>
    </row>
    <row r="172" spans="1:16" x14ac:dyDescent="0.25">
      <c r="A172" t="s">
        <v>655</v>
      </c>
      <c r="B172" t="s">
        <v>31</v>
      </c>
      <c r="C172" t="s">
        <v>18</v>
      </c>
      <c r="D172" t="s">
        <v>659</v>
      </c>
      <c r="E172" t="s">
        <v>144</v>
      </c>
      <c r="F172" t="s">
        <v>53</v>
      </c>
      <c r="G172" t="s">
        <v>161</v>
      </c>
      <c r="J172" t="s">
        <v>660</v>
      </c>
      <c r="K172" t="s">
        <v>149</v>
      </c>
      <c r="L172" t="s">
        <v>122</v>
      </c>
      <c r="M172" t="s">
        <v>27</v>
      </c>
      <c r="N172" t="s">
        <v>74</v>
      </c>
      <c r="O172" t="s">
        <v>29</v>
      </c>
      <c r="P172" t="s">
        <v>89</v>
      </c>
    </row>
    <row r="173" spans="1:16" x14ac:dyDescent="0.25">
      <c r="A173" t="s">
        <v>661</v>
      </c>
      <c r="B173" t="s">
        <v>17</v>
      </c>
      <c r="C173" t="s">
        <v>18</v>
      </c>
      <c r="D173" t="s">
        <v>662</v>
      </c>
      <c r="E173" t="s">
        <v>144</v>
      </c>
      <c r="F173" t="s">
        <v>53</v>
      </c>
      <c r="G173" t="s">
        <v>663</v>
      </c>
      <c r="H173" t="s">
        <v>664</v>
      </c>
      <c r="J173" t="s">
        <v>665</v>
      </c>
      <c r="K173" t="s">
        <v>149</v>
      </c>
      <c r="L173" t="s">
        <v>122</v>
      </c>
      <c r="M173" t="s">
        <v>27</v>
      </c>
      <c r="N173" t="s">
        <v>74</v>
      </c>
      <c r="O173" t="s">
        <v>29</v>
      </c>
      <c r="P173" t="s">
        <v>89</v>
      </c>
    </row>
    <row r="174" spans="1:16" x14ac:dyDescent="0.25">
      <c r="A174" t="s">
        <v>661</v>
      </c>
      <c r="B174" t="s">
        <v>31</v>
      </c>
      <c r="C174" t="s">
        <v>18</v>
      </c>
      <c r="D174" t="s">
        <v>666</v>
      </c>
      <c r="E174" t="s">
        <v>144</v>
      </c>
      <c r="F174" t="s">
        <v>53</v>
      </c>
      <c r="G174" t="s">
        <v>663</v>
      </c>
      <c r="J174" t="s">
        <v>667</v>
      </c>
      <c r="K174" t="s">
        <v>149</v>
      </c>
      <c r="L174" t="s">
        <v>122</v>
      </c>
      <c r="M174" t="s">
        <v>27</v>
      </c>
      <c r="N174" t="s">
        <v>74</v>
      </c>
      <c r="O174" t="s">
        <v>29</v>
      </c>
      <c r="P174" t="s">
        <v>89</v>
      </c>
    </row>
    <row r="175" spans="1:16" x14ac:dyDescent="0.25">
      <c r="A175" t="s">
        <v>668</v>
      </c>
      <c r="B175" t="s">
        <v>51</v>
      </c>
      <c r="C175" t="s">
        <v>18</v>
      </c>
      <c r="D175" t="s">
        <v>669</v>
      </c>
      <c r="E175" t="s">
        <v>144</v>
      </c>
      <c r="F175" t="s">
        <v>53</v>
      </c>
      <c r="G175" t="s">
        <v>670</v>
      </c>
      <c r="H175" t="s">
        <v>671</v>
      </c>
      <c r="J175" t="s">
        <v>672</v>
      </c>
      <c r="K175" t="s">
        <v>149</v>
      </c>
      <c r="L175" t="s">
        <v>212</v>
      </c>
      <c r="M175" t="s">
        <v>27</v>
      </c>
      <c r="N175" t="s">
        <v>74</v>
      </c>
      <c r="O175" t="s">
        <v>29</v>
      </c>
      <c r="P175" t="s">
        <v>398</v>
      </c>
    </row>
    <row r="176" spans="1:16" x14ac:dyDescent="0.25">
      <c r="A176" t="s">
        <v>673</v>
      </c>
      <c r="B176" t="s">
        <v>51</v>
      </c>
      <c r="C176" t="s">
        <v>18</v>
      </c>
      <c r="D176" t="s">
        <v>674</v>
      </c>
      <c r="E176" t="s">
        <v>144</v>
      </c>
      <c r="F176" t="s">
        <v>53</v>
      </c>
      <c r="G176" t="s">
        <v>675</v>
      </c>
      <c r="H176" t="s">
        <v>676</v>
      </c>
      <c r="J176" t="s">
        <v>407</v>
      </c>
      <c r="K176" t="s">
        <v>149</v>
      </c>
      <c r="L176" t="s">
        <v>122</v>
      </c>
      <c r="M176" t="s">
        <v>27</v>
      </c>
      <c r="N176" t="s">
        <v>74</v>
      </c>
      <c r="O176" t="s">
        <v>29</v>
      </c>
      <c r="P176" t="s">
        <v>398</v>
      </c>
    </row>
    <row r="177" spans="1:16" x14ac:dyDescent="0.25">
      <c r="A177" t="s">
        <v>677</v>
      </c>
      <c r="B177" t="s">
        <v>51</v>
      </c>
      <c r="C177" t="s">
        <v>18</v>
      </c>
      <c r="D177" t="s">
        <v>678</v>
      </c>
      <c r="E177" t="s">
        <v>144</v>
      </c>
      <c r="F177" t="s">
        <v>53</v>
      </c>
      <c r="G177" t="s">
        <v>679</v>
      </c>
      <c r="H177" t="s">
        <v>680</v>
      </c>
      <c r="J177" t="s">
        <v>672</v>
      </c>
      <c r="K177" t="s">
        <v>149</v>
      </c>
      <c r="L177" t="s">
        <v>212</v>
      </c>
      <c r="M177" t="s">
        <v>27</v>
      </c>
      <c r="N177" t="s">
        <v>74</v>
      </c>
      <c r="O177" t="s">
        <v>29</v>
      </c>
      <c r="P177" t="s">
        <v>398</v>
      </c>
    </row>
    <row r="178" spans="1:16" x14ac:dyDescent="0.25">
      <c r="A178" t="s">
        <v>681</v>
      </c>
      <c r="B178" t="s">
        <v>51</v>
      </c>
      <c r="C178" t="s">
        <v>18</v>
      </c>
      <c r="D178" t="s">
        <v>682</v>
      </c>
      <c r="E178" t="s">
        <v>144</v>
      </c>
      <c r="F178" t="s">
        <v>53</v>
      </c>
      <c r="G178" t="s">
        <v>683</v>
      </c>
      <c r="H178" t="s">
        <v>684</v>
      </c>
      <c r="J178" t="s">
        <v>685</v>
      </c>
      <c r="K178" t="s">
        <v>149</v>
      </c>
      <c r="L178" t="s">
        <v>212</v>
      </c>
      <c r="M178" t="s">
        <v>27</v>
      </c>
      <c r="N178" t="s">
        <v>74</v>
      </c>
      <c r="O178" t="s">
        <v>29</v>
      </c>
      <c r="P178" t="s">
        <v>398</v>
      </c>
    </row>
    <row r="179" spans="1:16" x14ac:dyDescent="0.25">
      <c r="A179" t="s">
        <v>686</v>
      </c>
      <c r="B179" t="s">
        <v>51</v>
      </c>
      <c r="C179" t="s">
        <v>18</v>
      </c>
      <c r="D179" t="s">
        <v>687</v>
      </c>
      <c r="E179" t="s">
        <v>144</v>
      </c>
      <c r="F179" t="s">
        <v>53</v>
      </c>
      <c r="G179" t="s">
        <v>688</v>
      </c>
      <c r="H179" t="s">
        <v>689</v>
      </c>
      <c r="J179" t="s">
        <v>685</v>
      </c>
      <c r="K179" t="s">
        <v>149</v>
      </c>
      <c r="L179" t="s">
        <v>122</v>
      </c>
      <c r="M179" t="s">
        <v>27</v>
      </c>
      <c r="N179" t="s">
        <v>74</v>
      </c>
      <c r="O179" t="s">
        <v>29</v>
      </c>
      <c r="P179" t="s">
        <v>398</v>
      </c>
    </row>
    <row r="180" spans="1:16" x14ac:dyDescent="0.25">
      <c r="A180" t="s">
        <v>690</v>
      </c>
      <c r="B180" t="s">
        <v>51</v>
      </c>
      <c r="C180" t="s">
        <v>18</v>
      </c>
      <c r="D180" t="s">
        <v>691</v>
      </c>
      <c r="E180" t="s">
        <v>144</v>
      </c>
      <c r="F180" t="s">
        <v>53</v>
      </c>
      <c r="G180" t="s">
        <v>692</v>
      </c>
      <c r="H180" t="s">
        <v>693</v>
      </c>
      <c r="J180" t="s">
        <v>685</v>
      </c>
      <c r="K180" t="s">
        <v>149</v>
      </c>
      <c r="L180" t="s">
        <v>212</v>
      </c>
      <c r="M180" t="s">
        <v>27</v>
      </c>
      <c r="N180" t="s">
        <v>74</v>
      </c>
      <c r="O180" t="s">
        <v>29</v>
      </c>
      <c r="P180" t="s">
        <v>398</v>
      </c>
    </row>
    <row r="181" spans="1:16" x14ac:dyDescent="0.25">
      <c r="A181" t="s">
        <v>694</v>
      </c>
      <c r="B181" t="s">
        <v>51</v>
      </c>
      <c r="C181" t="s">
        <v>18</v>
      </c>
      <c r="D181" t="s">
        <v>695</v>
      </c>
      <c r="E181" t="s">
        <v>144</v>
      </c>
      <c r="F181" t="s">
        <v>53</v>
      </c>
      <c r="G181" t="s">
        <v>696</v>
      </c>
      <c r="H181" t="s">
        <v>697</v>
      </c>
      <c r="J181" t="s">
        <v>698</v>
      </c>
      <c r="K181" t="s">
        <v>149</v>
      </c>
      <c r="L181" t="s">
        <v>122</v>
      </c>
      <c r="M181" t="s">
        <v>27</v>
      </c>
      <c r="N181" t="s">
        <v>74</v>
      </c>
      <c r="O181" t="s">
        <v>29</v>
      </c>
      <c r="P181" t="s">
        <v>398</v>
      </c>
    </row>
    <row r="182" spans="1:16" x14ac:dyDescent="0.25">
      <c r="A182" t="s">
        <v>699</v>
      </c>
      <c r="B182" t="s">
        <v>51</v>
      </c>
      <c r="C182" t="s">
        <v>18</v>
      </c>
      <c r="D182" t="s">
        <v>700</v>
      </c>
      <c r="E182" t="s">
        <v>144</v>
      </c>
      <c r="F182" t="s">
        <v>53</v>
      </c>
      <c r="G182" t="s">
        <v>701</v>
      </c>
      <c r="H182" t="s">
        <v>702</v>
      </c>
      <c r="J182" t="s">
        <v>703</v>
      </c>
      <c r="K182" t="s">
        <v>149</v>
      </c>
      <c r="L182" t="s">
        <v>122</v>
      </c>
      <c r="M182" t="s">
        <v>27</v>
      </c>
      <c r="N182" t="s">
        <v>74</v>
      </c>
      <c r="O182" t="s">
        <v>29</v>
      </c>
      <c r="P182" t="s">
        <v>398</v>
      </c>
    </row>
    <row r="183" spans="1:16" x14ac:dyDescent="0.25">
      <c r="A183" t="s">
        <v>704</v>
      </c>
      <c r="B183" t="s">
        <v>51</v>
      </c>
      <c r="C183" t="s">
        <v>18</v>
      </c>
      <c r="D183" t="s">
        <v>705</v>
      </c>
      <c r="E183" t="s">
        <v>144</v>
      </c>
      <c r="F183" t="s">
        <v>53</v>
      </c>
      <c r="G183" t="s">
        <v>706</v>
      </c>
      <c r="H183" t="s">
        <v>707</v>
      </c>
      <c r="J183" t="s">
        <v>708</v>
      </c>
      <c r="K183" t="s">
        <v>149</v>
      </c>
      <c r="L183" t="s">
        <v>212</v>
      </c>
      <c r="M183" t="s">
        <v>27</v>
      </c>
      <c r="N183" t="s">
        <v>74</v>
      </c>
      <c r="O183" t="s">
        <v>29</v>
      </c>
      <c r="P183" t="s">
        <v>398</v>
      </c>
    </row>
    <row r="184" spans="1:16" x14ac:dyDescent="0.25">
      <c r="A184" t="s">
        <v>709</v>
      </c>
      <c r="B184" t="s">
        <v>51</v>
      </c>
      <c r="C184" t="s">
        <v>18</v>
      </c>
      <c r="D184" t="s">
        <v>710</v>
      </c>
      <c r="E184" t="s">
        <v>144</v>
      </c>
      <c r="F184" t="s">
        <v>53</v>
      </c>
      <c r="G184" t="s">
        <v>711</v>
      </c>
      <c r="H184" t="s">
        <v>712</v>
      </c>
      <c r="J184" t="s">
        <v>708</v>
      </c>
      <c r="K184" t="s">
        <v>149</v>
      </c>
      <c r="L184" t="s">
        <v>122</v>
      </c>
      <c r="M184" t="s">
        <v>27</v>
      </c>
      <c r="N184" t="s">
        <v>74</v>
      </c>
      <c r="O184" t="s">
        <v>29</v>
      </c>
      <c r="P184" t="s">
        <v>398</v>
      </c>
    </row>
    <row r="185" spans="1:16" x14ac:dyDescent="0.25">
      <c r="A185" t="s">
        <v>713</v>
      </c>
      <c r="B185" t="s">
        <v>51</v>
      </c>
      <c r="C185" t="s">
        <v>18</v>
      </c>
      <c r="D185" t="s">
        <v>714</v>
      </c>
      <c r="E185" t="s">
        <v>144</v>
      </c>
      <c r="F185" t="s">
        <v>53</v>
      </c>
      <c r="G185" t="s">
        <v>715</v>
      </c>
      <c r="H185" t="s">
        <v>716</v>
      </c>
      <c r="J185" t="s">
        <v>717</v>
      </c>
      <c r="K185" t="s">
        <v>149</v>
      </c>
      <c r="L185" t="s">
        <v>226</v>
      </c>
      <c r="M185" t="s">
        <v>27</v>
      </c>
      <c r="N185" t="s">
        <v>74</v>
      </c>
      <c r="O185" t="s">
        <v>29</v>
      </c>
      <c r="P185" t="s">
        <v>398</v>
      </c>
    </row>
    <row r="186" spans="1:16" x14ac:dyDescent="0.25">
      <c r="A186" t="s">
        <v>718</v>
      </c>
      <c r="B186" t="s">
        <v>51</v>
      </c>
      <c r="C186" t="s">
        <v>18</v>
      </c>
      <c r="D186" t="s">
        <v>719</v>
      </c>
      <c r="E186" t="s">
        <v>144</v>
      </c>
      <c r="F186" t="s">
        <v>53</v>
      </c>
      <c r="G186" t="s">
        <v>720</v>
      </c>
      <c r="H186" t="s">
        <v>721</v>
      </c>
      <c r="J186" t="s">
        <v>717</v>
      </c>
      <c r="K186" t="s">
        <v>149</v>
      </c>
      <c r="L186" t="s">
        <v>122</v>
      </c>
      <c r="M186" t="s">
        <v>27</v>
      </c>
      <c r="N186" t="s">
        <v>74</v>
      </c>
      <c r="O186" t="s">
        <v>29</v>
      </c>
      <c r="P186" t="s">
        <v>398</v>
      </c>
    </row>
    <row r="187" spans="1:16" x14ac:dyDescent="0.25">
      <c r="A187" t="s">
        <v>722</v>
      </c>
      <c r="B187" t="s">
        <v>51</v>
      </c>
      <c r="C187" t="s">
        <v>18</v>
      </c>
      <c r="D187" t="s">
        <v>723</v>
      </c>
      <c r="E187" t="s">
        <v>144</v>
      </c>
      <c r="F187" t="s">
        <v>53</v>
      </c>
      <c r="G187" t="s">
        <v>724</v>
      </c>
      <c r="H187" t="s">
        <v>725</v>
      </c>
      <c r="J187" t="s">
        <v>726</v>
      </c>
      <c r="K187" t="s">
        <v>149</v>
      </c>
      <c r="L187" t="s">
        <v>226</v>
      </c>
      <c r="M187" t="s">
        <v>27</v>
      </c>
      <c r="N187" t="s">
        <v>74</v>
      </c>
      <c r="O187" t="s">
        <v>29</v>
      </c>
      <c r="P187" t="s">
        <v>398</v>
      </c>
    </row>
    <row r="188" spans="1:16" x14ac:dyDescent="0.25">
      <c r="A188" t="s">
        <v>727</v>
      </c>
      <c r="B188" t="s">
        <v>51</v>
      </c>
      <c r="C188" t="s">
        <v>18</v>
      </c>
      <c r="D188" t="s">
        <v>728</v>
      </c>
      <c r="E188" t="s">
        <v>144</v>
      </c>
      <c r="F188" t="s">
        <v>53</v>
      </c>
      <c r="G188" t="s">
        <v>729</v>
      </c>
      <c r="H188" t="s">
        <v>730</v>
      </c>
      <c r="J188" t="s">
        <v>731</v>
      </c>
      <c r="K188" t="s">
        <v>149</v>
      </c>
      <c r="L188" t="s">
        <v>122</v>
      </c>
      <c r="M188" t="s">
        <v>27</v>
      </c>
      <c r="N188" t="s">
        <v>74</v>
      </c>
      <c r="O188" t="s">
        <v>29</v>
      </c>
      <c r="P188" t="s">
        <v>398</v>
      </c>
    </row>
    <row r="189" spans="1:16" x14ac:dyDescent="0.25">
      <c r="A189" t="s">
        <v>732</v>
      </c>
      <c r="B189" t="s">
        <v>51</v>
      </c>
      <c r="C189" t="s">
        <v>18</v>
      </c>
      <c r="D189" t="s">
        <v>733</v>
      </c>
      <c r="E189" t="s">
        <v>144</v>
      </c>
      <c r="F189" t="s">
        <v>53</v>
      </c>
      <c r="G189" t="s">
        <v>734</v>
      </c>
      <c r="H189" t="s">
        <v>735</v>
      </c>
      <c r="J189" t="s">
        <v>736</v>
      </c>
      <c r="K189" t="s">
        <v>149</v>
      </c>
      <c r="L189" t="s">
        <v>273</v>
      </c>
      <c r="M189" t="s">
        <v>27</v>
      </c>
      <c r="N189" t="s">
        <v>74</v>
      </c>
      <c r="O189" t="s">
        <v>29</v>
      </c>
      <c r="P189" t="s">
        <v>398</v>
      </c>
    </row>
    <row r="190" spans="1:16" x14ac:dyDescent="0.25">
      <c r="A190" t="s">
        <v>737</v>
      </c>
      <c r="B190" t="s">
        <v>51</v>
      </c>
      <c r="C190" t="s">
        <v>18</v>
      </c>
      <c r="D190" t="s">
        <v>738</v>
      </c>
      <c r="E190" t="s">
        <v>144</v>
      </c>
      <c r="F190" t="s">
        <v>53</v>
      </c>
      <c r="G190" t="s">
        <v>739</v>
      </c>
      <c r="H190" t="s">
        <v>740</v>
      </c>
      <c r="J190" t="s">
        <v>736</v>
      </c>
      <c r="K190" t="s">
        <v>149</v>
      </c>
      <c r="L190" t="s">
        <v>273</v>
      </c>
      <c r="M190" t="s">
        <v>27</v>
      </c>
      <c r="N190" t="s">
        <v>74</v>
      </c>
      <c r="O190" t="s">
        <v>29</v>
      </c>
      <c r="P190" t="s">
        <v>398</v>
      </c>
    </row>
    <row r="191" spans="1:16" x14ac:dyDescent="0.25">
      <c r="A191" t="s">
        <v>741</v>
      </c>
      <c r="B191" t="s">
        <v>51</v>
      </c>
      <c r="C191" t="s">
        <v>18</v>
      </c>
      <c r="D191" t="s">
        <v>742</v>
      </c>
      <c r="E191" t="s">
        <v>144</v>
      </c>
      <c r="F191" t="s">
        <v>53</v>
      </c>
      <c r="G191" t="s">
        <v>743</v>
      </c>
      <c r="H191" t="s">
        <v>744</v>
      </c>
      <c r="J191" t="s">
        <v>726</v>
      </c>
      <c r="K191" t="s">
        <v>149</v>
      </c>
      <c r="L191" t="s">
        <v>122</v>
      </c>
      <c r="M191" t="s">
        <v>27</v>
      </c>
      <c r="N191" t="s">
        <v>74</v>
      </c>
      <c r="O191" t="s">
        <v>29</v>
      </c>
      <c r="P191" t="s">
        <v>398</v>
      </c>
    </row>
    <row r="192" spans="1:16" x14ac:dyDescent="0.25">
      <c r="A192" t="s">
        <v>745</v>
      </c>
      <c r="B192" t="s">
        <v>51</v>
      </c>
      <c r="C192" t="s">
        <v>18</v>
      </c>
      <c r="D192" t="s">
        <v>746</v>
      </c>
      <c r="E192" t="s">
        <v>144</v>
      </c>
      <c r="F192" t="s">
        <v>53</v>
      </c>
      <c r="G192" t="s">
        <v>747</v>
      </c>
      <c r="H192" t="s">
        <v>748</v>
      </c>
      <c r="J192" t="s">
        <v>749</v>
      </c>
      <c r="K192" t="s">
        <v>149</v>
      </c>
      <c r="L192" t="s">
        <v>122</v>
      </c>
      <c r="M192" t="s">
        <v>27</v>
      </c>
      <c r="N192" t="s">
        <v>74</v>
      </c>
      <c r="O192" t="s">
        <v>29</v>
      </c>
      <c r="P192" t="s">
        <v>398</v>
      </c>
    </row>
    <row r="193" spans="1:16" x14ac:dyDescent="0.25">
      <c r="A193" t="s">
        <v>750</v>
      </c>
      <c r="B193" t="s">
        <v>51</v>
      </c>
      <c r="C193" t="s">
        <v>18</v>
      </c>
      <c r="D193" t="s">
        <v>751</v>
      </c>
      <c r="E193" t="s">
        <v>144</v>
      </c>
      <c r="F193" t="s">
        <v>53</v>
      </c>
      <c r="G193" t="s">
        <v>752</v>
      </c>
      <c r="H193" t="s">
        <v>753</v>
      </c>
      <c r="J193" t="s">
        <v>749</v>
      </c>
      <c r="K193" t="s">
        <v>149</v>
      </c>
      <c r="L193" t="s">
        <v>273</v>
      </c>
      <c r="M193" t="s">
        <v>27</v>
      </c>
      <c r="N193" t="s">
        <v>74</v>
      </c>
      <c r="O193" t="s">
        <v>29</v>
      </c>
      <c r="P193" t="s">
        <v>398</v>
      </c>
    </row>
    <row r="194" spans="1:16" x14ac:dyDescent="0.25">
      <c r="A194" t="s">
        <v>754</v>
      </c>
      <c r="B194" t="s">
        <v>51</v>
      </c>
      <c r="C194" t="s">
        <v>18</v>
      </c>
      <c r="D194" t="s">
        <v>755</v>
      </c>
      <c r="E194" t="s">
        <v>144</v>
      </c>
      <c r="F194" t="s">
        <v>53</v>
      </c>
      <c r="G194" t="s">
        <v>756</v>
      </c>
      <c r="H194" t="s">
        <v>757</v>
      </c>
      <c r="J194" t="s">
        <v>758</v>
      </c>
      <c r="K194" t="s">
        <v>149</v>
      </c>
      <c r="L194" t="s">
        <v>122</v>
      </c>
      <c r="M194" t="s">
        <v>27</v>
      </c>
      <c r="N194" t="s">
        <v>74</v>
      </c>
      <c r="O194" t="s">
        <v>29</v>
      </c>
      <c r="P194" t="s">
        <v>398</v>
      </c>
    </row>
    <row r="195" spans="1:16" x14ac:dyDescent="0.25">
      <c r="A195" t="s">
        <v>759</v>
      </c>
      <c r="B195" t="s">
        <v>51</v>
      </c>
      <c r="C195" t="s">
        <v>18</v>
      </c>
      <c r="D195" t="s">
        <v>760</v>
      </c>
      <c r="E195" t="s">
        <v>144</v>
      </c>
      <c r="F195" t="s">
        <v>53</v>
      </c>
      <c r="G195" t="s">
        <v>54</v>
      </c>
      <c r="H195" t="s">
        <v>761</v>
      </c>
      <c r="J195" t="s">
        <v>758</v>
      </c>
      <c r="K195" t="s">
        <v>149</v>
      </c>
      <c r="L195" t="s">
        <v>273</v>
      </c>
      <c r="M195" t="s">
        <v>27</v>
      </c>
      <c r="N195" t="s">
        <v>74</v>
      </c>
      <c r="O195" t="s">
        <v>29</v>
      </c>
      <c r="P195" t="s">
        <v>398</v>
      </c>
    </row>
    <row r="196" spans="1:16" x14ac:dyDescent="0.25">
      <c r="A196" t="s">
        <v>762</v>
      </c>
      <c r="B196" t="s">
        <v>51</v>
      </c>
      <c r="C196" t="s">
        <v>18</v>
      </c>
      <c r="D196" t="s">
        <v>763</v>
      </c>
      <c r="E196" t="s">
        <v>144</v>
      </c>
      <c r="F196" t="s">
        <v>53</v>
      </c>
      <c r="G196" t="s">
        <v>764</v>
      </c>
      <c r="H196" t="s">
        <v>765</v>
      </c>
      <c r="J196" t="s">
        <v>758</v>
      </c>
      <c r="K196" t="s">
        <v>149</v>
      </c>
      <c r="L196" t="s">
        <v>122</v>
      </c>
      <c r="M196" t="s">
        <v>27</v>
      </c>
      <c r="N196" t="s">
        <v>74</v>
      </c>
      <c r="O196" t="s">
        <v>29</v>
      </c>
      <c r="P196" t="s">
        <v>398</v>
      </c>
    </row>
    <row r="197" spans="1:16" x14ac:dyDescent="0.25">
      <c r="A197" t="s">
        <v>766</v>
      </c>
      <c r="B197" t="s">
        <v>17</v>
      </c>
      <c r="C197" t="s">
        <v>18</v>
      </c>
      <c r="D197" t="s">
        <v>767</v>
      </c>
      <c r="E197" t="s">
        <v>144</v>
      </c>
      <c r="F197" t="s">
        <v>21</v>
      </c>
      <c r="G197" t="s">
        <v>768</v>
      </c>
      <c r="H197" t="s">
        <v>769</v>
      </c>
      <c r="J197" t="s">
        <v>770</v>
      </c>
      <c r="K197" t="s">
        <v>149</v>
      </c>
      <c r="L197" t="s">
        <v>122</v>
      </c>
      <c r="M197" t="s">
        <v>27</v>
      </c>
      <c r="N197" t="s">
        <v>74</v>
      </c>
      <c r="O197" t="s">
        <v>29</v>
      </c>
      <c r="P197" t="s">
        <v>89</v>
      </c>
    </row>
    <row r="198" spans="1:16" x14ac:dyDescent="0.25">
      <c r="A198" t="s">
        <v>766</v>
      </c>
      <c r="B198" t="s">
        <v>31</v>
      </c>
      <c r="C198" t="s">
        <v>18</v>
      </c>
      <c r="D198" t="s">
        <v>771</v>
      </c>
      <c r="E198" t="s">
        <v>144</v>
      </c>
      <c r="F198" t="s">
        <v>21</v>
      </c>
      <c r="G198" t="s">
        <v>768</v>
      </c>
      <c r="J198" t="s">
        <v>772</v>
      </c>
      <c r="K198" t="s">
        <v>149</v>
      </c>
      <c r="L198" t="s">
        <v>122</v>
      </c>
      <c r="M198" t="s">
        <v>27</v>
      </c>
      <c r="N198" t="s">
        <v>74</v>
      </c>
      <c r="O198" t="s">
        <v>29</v>
      </c>
      <c r="P198" t="s">
        <v>89</v>
      </c>
    </row>
    <row r="199" spans="1:16" x14ac:dyDescent="0.25">
      <c r="A199" t="s">
        <v>773</v>
      </c>
      <c r="B199" t="s">
        <v>17</v>
      </c>
      <c r="C199" t="s">
        <v>18</v>
      </c>
      <c r="D199" t="s">
        <v>774</v>
      </c>
      <c r="E199" t="s">
        <v>144</v>
      </c>
      <c r="F199" t="s">
        <v>21</v>
      </c>
      <c r="G199" t="s">
        <v>775</v>
      </c>
      <c r="H199" t="s">
        <v>776</v>
      </c>
      <c r="J199" t="s">
        <v>777</v>
      </c>
      <c r="K199" t="s">
        <v>149</v>
      </c>
      <c r="L199" t="s">
        <v>122</v>
      </c>
      <c r="M199" t="s">
        <v>27</v>
      </c>
      <c r="N199" t="s">
        <v>74</v>
      </c>
      <c r="O199" t="s">
        <v>29</v>
      </c>
      <c r="P199" t="s">
        <v>89</v>
      </c>
    </row>
    <row r="200" spans="1:16" x14ac:dyDescent="0.25">
      <c r="A200" t="s">
        <v>773</v>
      </c>
      <c r="B200" t="s">
        <v>31</v>
      </c>
      <c r="C200" t="s">
        <v>18</v>
      </c>
      <c r="D200" t="s">
        <v>778</v>
      </c>
      <c r="E200" t="s">
        <v>144</v>
      </c>
      <c r="F200" t="s">
        <v>21</v>
      </c>
      <c r="G200" t="s">
        <v>775</v>
      </c>
      <c r="J200" t="s">
        <v>779</v>
      </c>
      <c r="K200" t="s">
        <v>149</v>
      </c>
      <c r="L200" t="s">
        <v>122</v>
      </c>
      <c r="M200" t="s">
        <v>27</v>
      </c>
      <c r="N200" t="s">
        <v>74</v>
      </c>
      <c r="O200" t="s">
        <v>29</v>
      </c>
      <c r="P200" t="s">
        <v>89</v>
      </c>
    </row>
    <row r="201" spans="1:16" x14ac:dyDescent="0.25">
      <c r="A201" t="s">
        <v>780</v>
      </c>
      <c r="B201" t="s">
        <v>17</v>
      </c>
      <c r="C201" t="s">
        <v>18</v>
      </c>
      <c r="D201" t="s">
        <v>781</v>
      </c>
      <c r="E201" t="s">
        <v>435</v>
      </c>
      <c r="F201" t="s">
        <v>53</v>
      </c>
      <c r="G201" t="s">
        <v>782</v>
      </c>
      <c r="H201" t="s">
        <v>783</v>
      </c>
      <c r="J201" t="s">
        <v>784</v>
      </c>
      <c r="K201" t="s">
        <v>149</v>
      </c>
      <c r="L201" t="s">
        <v>95</v>
      </c>
      <c r="M201" t="s">
        <v>27</v>
      </c>
      <c r="N201" t="s">
        <v>74</v>
      </c>
      <c r="O201" t="s">
        <v>29</v>
      </c>
      <c r="P201" t="s">
        <v>785</v>
      </c>
    </row>
    <row r="202" spans="1:16" x14ac:dyDescent="0.25">
      <c r="A202" t="s">
        <v>780</v>
      </c>
      <c r="B202" t="s">
        <v>31</v>
      </c>
      <c r="C202" t="s">
        <v>18</v>
      </c>
      <c r="D202" t="s">
        <v>786</v>
      </c>
      <c r="E202" t="s">
        <v>435</v>
      </c>
      <c r="F202" t="s">
        <v>53</v>
      </c>
      <c r="G202" t="s">
        <v>782</v>
      </c>
      <c r="J202" t="s">
        <v>787</v>
      </c>
      <c r="K202" t="s">
        <v>149</v>
      </c>
      <c r="L202" t="s">
        <v>95</v>
      </c>
      <c r="M202" t="s">
        <v>27</v>
      </c>
      <c r="N202" t="s">
        <v>74</v>
      </c>
      <c r="O202" t="s">
        <v>29</v>
      </c>
      <c r="P202" t="s">
        <v>785</v>
      </c>
    </row>
    <row r="203" spans="1:16" x14ac:dyDescent="0.25">
      <c r="A203" t="s">
        <v>788</v>
      </c>
      <c r="B203" t="s">
        <v>51</v>
      </c>
      <c r="C203" t="s">
        <v>18</v>
      </c>
      <c r="D203" t="s">
        <v>789</v>
      </c>
      <c r="E203" t="s">
        <v>435</v>
      </c>
      <c r="F203" t="s">
        <v>21</v>
      </c>
      <c r="G203" t="s">
        <v>790</v>
      </c>
      <c r="H203" t="s">
        <v>791</v>
      </c>
      <c r="J203" t="s">
        <v>792</v>
      </c>
      <c r="K203" t="s">
        <v>149</v>
      </c>
      <c r="L203" t="s">
        <v>122</v>
      </c>
      <c r="M203" t="s">
        <v>27</v>
      </c>
      <c r="N203" t="s">
        <v>74</v>
      </c>
      <c r="O203" t="s">
        <v>29</v>
      </c>
      <c r="P203" t="s">
        <v>89</v>
      </c>
    </row>
    <row r="204" spans="1:16" x14ac:dyDescent="0.25">
      <c r="A204" t="s">
        <v>793</v>
      </c>
      <c r="B204" t="s">
        <v>51</v>
      </c>
      <c r="C204" t="s">
        <v>18</v>
      </c>
      <c r="D204" t="s">
        <v>794</v>
      </c>
      <c r="E204" t="s">
        <v>144</v>
      </c>
      <c r="F204" t="s">
        <v>21</v>
      </c>
      <c r="G204" t="s">
        <v>795</v>
      </c>
      <c r="H204" t="s">
        <v>796</v>
      </c>
      <c r="J204" t="s">
        <v>797</v>
      </c>
      <c r="K204" t="s">
        <v>149</v>
      </c>
      <c r="L204" t="s">
        <v>122</v>
      </c>
      <c r="M204" t="s">
        <v>27</v>
      </c>
      <c r="N204" t="s">
        <v>74</v>
      </c>
      <c r="O204" t="s">
        <v>29</v>
      </c>
      <c r="P204" t="s">
        <v>89</v>
      </c>
    </row>
    <row r="205" spans="1:16" x14ac:dyDescent="0.25">
      <c r="A205" t="s">
        <v>798</v>
      </c>
      <c r="B205" t="s">
        <v>51</v>
      </c>
      <c r="C205" t="s">
        <v>18</v>
      </c>
      <c r="D205" t="s">
        <v>799</v>
      </c>
      <c r="E205" t="s">
        <v>435</v>
      </c>
      <c r="F205" t="s">
        <v>21</v>
      </c>
      <c r="G205" t="s">
        <v>800</v>
      </c>
      <c r="H205" t="s">
        <v>801</v>
      </c>
      <c r="J205" t="s">
        <v>802</v>
      </c>
      <c r="K205" t="s">
        <v>149</v>
      </c>
      <c r="L205" t="s">
        <v>122</v>
      </c>
      <c r="M205" t="s">
        <v>27</v>
      </c>
      <c r="N205" t="s">
        <v>74</v>
      </c>
      <c r="O205" t="s">
        <v>29</v>
      </c>
      <c r="P205" t="s">
        <v>89</v>
      </c>
    </row>
    <row r="206" spans="1:16" x14ac:dyDescent="0.25">
      <c r="A206" t="s">
        <v>803</v>
      </c>
      <c r="B206" t="s">
        <v>51</v>
      </c>
      <c r="C206" t="s">
        <v>18</v>
      </c>
      <c r="D206" t="s">
        <v>804</v>
      </c>
      <c r="E206" t="s">
        <v>435</v>
      </c>
      <c r="F206" t="s">
        <v>21</v>
      </c>
      <c r="G206" t="s">
        <v>805</v>
      </c>
      <c r="H206" t="s">
        <v>806</v>
      </c>
      <c r="J206" t="s">
        <v>797</v>
      </c>
      <c r="K206" t="s">
        <v>149</v>
      </c>
      <c r="L206" t="s">
        <v>122</v>
      </c>
      <c r="M206" t="s">
        <v>27</v>
      </c>
      <c r="N206" t="s">
        <v>74</v>
      </c>
      <c r="O206" t="s">
        <v>29</v>
      </c>
      <c r="P206" t="s">
        <v>89</v>
      </c>
    </row>
    <row r="207" spans="1:16" x14ac:dyDescent="0.25">
      <c r="A207" t="s">
        <v>807</v>
      </c>
      <c r="B207" t="s">
        <v>17</v>
      </c>
      <c r="C207" t="s">
        <v>18</v>
      </c>
      <c r="D207" t="s">
        <v>808</v>
      </c>
      <c r="E207" t="s">
        <v>144</v>
      </c>
      <c r="F207" t="s">
        <v>35</v>
      </c>
      <c r="G207" t="s">
        <v>809</v>
      </c>
      <c r="H207" t="s">
        <v>810</v>
      </c>
      <c r="J207" t="s">
        <v>315</v>
      </c>
      <c r="K207" t="s">
        <v>149</v>
      </c>
      <c r="L207" t="s">
        <v>95</v>
      </c>
      <c r="M207" t="s">
        <v>27</v>
      </c>
      <c r="N207" t="s">
        <v>74</v>
      </c>
      <c r="O207" t="s">
        <v>29</v>
      </c>
      <c r="P207" t="s">
        <v>89</v>
      </c>
    </row>
    <row r="208" spans="1:16" x14ac:dyDescent="0.25">
      <c r="A208" t="s">
        <v>807</v>
      </c>
      <c r="B208" t="s">
        <v>31</v>
      </c>
      <c r="C208" t="s">
        <v>18</v>
      </c>
      <c r="D208" t="s">
        <v>811</v>
      </c>
      <c r="E208" t="s">
        <v>144</v>
      </c>
      <c r="F208" t="s">
        <v>35</v>
      </c>
      <c r="G208" t="s">
        <v>809</v>
      </c>
      <c r="J208" t="s">
        <v>184</v>
      </c>
      <c r="K208" t="s">
        <v>149</v>
      </c>
      <c r="L208" t="s">
        <v>307</v>
      </c>
      <c r="M208" t="s">
        <v>27</v>
      </c>
      <c r="N208" t="s">
        <v>74</v>
      </c>
      <c r="O208" t="s">
        <v>29</v>
      </c>
      <c r="P208" t="s">
        <v>89</v>
      </c>
    </row>
    <row r="209" spans="1:16" x14ac:dyDescent="0.25">
      <c r="A209" t="s">
        <v>812</v>
      </c>
      <c r="B209" t="s">
        <v>51</v>
      </c>
      <c r="C209" t="s">
        <v>18</v>
      </c>
      <c r="D209" t="s">
        <v>813</v>
      </c>
      <c r="E209" t="s">
        <v>144</v>
      </c>
      <c r="F209" t="s">
        <v>21</v>
      </c>
      <c r="G209" t="s">
        <v>814</v>
      </c>
      <c r="H209" t="s">
        <v>815</v>
      </c>
      <c r="J209" t="s">
        <v>816</v>
      </c>
      <c r="K209" t="s">
        <v>149</v>
      </c>
      <c r="L209" t="s">
        <v>122</v>
      </c>
      <c r="M209" t="s">
        <v>27</v>
      </c>
      <c r="N209" t="s">
        <v>74</v>
      </c>
      <c r="O209" t="s">
        <v>29</v>
      </c>
      <c r="P209" t="s">
        <v>89</v>
      </c>
    </row>
    <row r="210" spans="1:16" x14ac:dyDescent="0.25">
      <c r="A210" t="s">
        <v>817</v>
      </c>
      <c r="B210" t="s">
        <v>17</v>
      </c>
      <c r="C210" t="s">
        <v>18</v>
      </c>
      <c r="D210" t="s">
        <v>818</v>
      </c>
      <c r="E210" t="s">
        <v>819</v>
      </c>
      <c r="F210" t="s">
        <v>35</v>
      </c>
      <c r="G210" t="s">
        <v>820</v>
      </c>
      <c r="H210" t="s">
        <v>821</v>
      </c>
      <c r="J210" t="s">
        <v>822</v>
      </c>
      <c r="K210" t="s">
        <v>149</v>
      </c>
      <c r="L210" t="s">
        <v>299</v>
      </c>
      <c r="M210" t="s">
        <v>27</v>
      </c>
      <c r="N210" t="s">
        <v>74</v>
      </c>
      <c r="O210" t="s">
        <v>29</v>
      </c>
      <c r="P210" t="s">
        <v>89</v>
      </c>
    </row>
    <row r="211" spans="1:16" x14ac:dyDescent="0.25">
      <c r="A211" t="s">
        <v>817</v>
      </c>
      <c r="B211" t="s">
        <v>31</v>
      </c>
      <c r="C211" t="s">
        <v>18</v>
      </c>
      <c r="D211" t="s">
        <v>823</v>
      </c>
      <c r="E211" t="s">
        <v>819</v>
      </c>
      <c r="F211" t="s">
        <v>35</v>
      </c>
      <c r="G211" t="s">
        <v>820</v>
      </c>
      <c r="J211" t="s">
        <v>824</v>
      </c>
      <c r="K211" t="s">
        <v>149</v>
      </c>
      <c r="L211" t="s">
        <v>226</v>
      </c>
      <c r="M211" t="s">
        <v>27</v>
      </c>
      <c r="N211" t="s">
        <v>74</v>
      </c>
      <c r="O211" t="s">
        <v>29</v>
      </c>
      <c r="P211" t="s">
        <v>89</v>
      </c>
    </row>
    <row r="212" spans="1:16" x14ac:dyDescent="0.25">
      <c r="A212" t="s">
        <v>825</v>
      </c>
      <c r="B212" t="s">
        <v>17</v>
      </c>
      <c r="C212" t="s">
        <v>18</v>
      </c>
      <c r="D212" t="s">
        <v>826</v>
      </c>
      <c r="E212" t="s">
        <v>144</v>
      </c>
      <c r="F212" t="s">
        <v>21</v>
      </c>
      <c r="G212" t="s">
        <v>827</v>
      </c>
      <c r="H212" t="s">
        <v>828</v>
      </c>
      <c r="J212" t="s">
        <v>829</v>
      </c>
      <c r="K212" t="s">
        <v>149</v>
      </c>
      <c r="L212" t="s">
        <v>122</v>
      </c>
      <c r="M212" t="s">
        <v>27</v>
      </c>
      <c r="N212" t="s">
        <v>74</v>
      </c>
      <c r="O212" t="s">
        <v>29</v>
      </c>
      <c r="P212" t="s">
        <v>89</v>
      </c>
    </row>
    <row r="213" spans="1:16" x14ac:dyDescent="0.25">
      <c r="A213" t="s">
        <v>825</v>
      </c>
      <c r="B213" t="s">
        <v>31</v>
      </c>
      <c r="C213" t="s">
        <v>18</v>
      </c>
      <c r="D213" t="s">
        <v>830</v>
      </c>
      <c r="E213" t="s">
        <v>144</v>
      </c>
      <c r="F213" t="s">
        <v>21</v>
      </c>
      <c r="G213" t="s">
        <v>827</v>
      </c>
      <c r="J213" t="s">
        <v>831</v>
      </c>
      <c r="K213" t="s">
        <v>149</v>
      </c>
      <c r="L213" t="s">
        <v>122</v>
      </c>
      <c r="M213" t="s">
        <v>27</v>
      </c>
      <c r="N213" t="s">
        <v>74</v>
      </c>
      <c r="O213" t="s">
        <v>29</v>
      </c>
      <c r="P213" t="s">
        <v>89</v>
      </c>
    </row>
    <row r="214" spans="1:16" x14ac:dyDescent="0.25">
      <c r="A214" t="s">
        <v>832</v>
      </c>
      <c r="B214" t="s">
        <v>51</v>
      </c>
      <c r="C214" t="s">
        <v>18</v>
      </c>
      <c r="D214" t="s">
        <v>833</v>
      </c>
      <c r="E214" t="s">
        <v>144</v>
      </c>
      <c r="F214" t="s">
        <v>21</v>
      </c>
      <c r="G214" t="s">
        <v>834</v>
      </c>
      <c r="H214" t="s">
        <v>835</v>
      </c>
      <c r="J214" t="s">
        <v>836</v>
      </c>
      <c r="K214" t="s">
        <v>149</v>
      </c>
      <c r="L214" t="s">
        <v>122</v>
      </c>
      <c r="M214" t="s">
        <v>27</v>
      </c>
      <c r="N214" t="s">
        <v>74</v>
      </c>
      <c r="O214" t="s">
        <v>29</v>
      </c>
      <c r="P214" t="s">
        <v>837</v>
      </c>
    </row>
    <row r="215" spans="1:16" x14ac:dyDescent="0.25">
      <c r="A215" t="s">
        <v>838</v>
      </c>
      <c r="B215" t="s">
        <v>51</v>
      </c>
      <c r="C215" t="s">
        <v>18</v>
      </c>
      <c r="D215" t="s">
        <v>839</v>
      </c>
      <c r="E215" t="s">
        <v>144</v>
      </c>
      <c r="F215" t="s">
        <v>21</v>
      </c>
      <c r="G215" t="s">
        <v>840</v>
      </c>
      <c r="H215" t="s">
        <v>841</v>
      </c>
      <c r="J215" t="s">
        <v>175</v>
      </c>
      <c r="K215" t="s">
        <v>149</v>
      </c>
      <c r="L215" t="s">
        <v>122</v>
      </c>
      <c r="M215" t="s">
        <v>27</v>
      </c>
      <c r="N215" t="s">
        <v>74</v>
      </c>
      <c r="O215" t="s">
        <v>29</v>
      </c>
      <c r="P215" t="s">
        <v>308</v>
      </c>
    </row>
    <row r="216" spans="1:16" x14ac:dyDescent="0.25">
      <c r="A216" t="s">
        <v>842</v>
      </c>
      <c r="B216" t="s">
        <v>17</v>
      </c>
      <c r="C216" t="s">
        <v>18</v>
      </c>
      <c r="D216" t="s">
        <v>843</v>
      </c>
      <c r="E216" t="s">
        <v>201</v>
      </c>
      <c r="F216" t="s">
        <v>35</v>
      </c>
      <c r="G216" t="s">
        <v>188</v>
      </c>
      <c r="H216" t="s">
        <v>844</v>
      </c>
      <c r="J216" t="s">
        <v>182</v>
      </c>
      <c r="K216" t="s">
        <v>149</v>
      </c>
      <c r="L216" t="s">
        <v>95</v>
      </c>
      <c r="M216" t="s">
        <v>27</v>
      </c>
      <c r="N216" t="s">
        <v>74</v>
      </c>
      <c r="O216" t="s">
        <v>29</v>
      </c>
      <c r="P216" t="s">
        <v>89</v>
      </c>
    </row>
    <row r="217" spans="1:16" x14ac:dyDescent="0.25">
      <c r="A217" t="s">
        <v>842</v>
      </c>
      <c r="B217" t="s">
        <v>31</v>
      </c>
      <c r="C217" t="s">
        <v>18</v>
      </c>
      <c r="D217" t="s">
        <v>845</v>
      </c>
      <c r="E217" t="s">
        <v>201</v>
      </c>
      <c r="F217" t="s">
        <v>35</v>
      </c>
      <c r="G217" t="s">
        <v>188</v>
      </c>
      <c r="J217" t="s">
        <v>184</v>
      </c>
      <c r="K217" t="s">
        <v>149</v>
      </c>
      <c r="L217" t="s">
        <v>95</v>
      </c>
      <c r="M217" t="s">
        <v>27</v>
      </c>
      <c r="N217" t="s">
        <v>74</v>
      </c>
      <c r="O217" t="s">
        <v>29</v>
      </c>
      <c r="P217" t="s">
        <v>89</v>
      </c>
    </row>
    <row r="218" spans="1:16" x14ac:dyDescent="0.25">
      <c r="A218" t="s">
        <v>846</v>
      </c>
      <c r="B218" t="s">
        <v>17</v>
      </c>
      <c r="C218" t="s">
        <v>18</v>
      </c>
      <c r="D218" t="s">
        <v>847</v>
      </c>
      <c r="E218" t="s">
        <v>201</v>
      </c>
      <c r="F218" t="s">
        <v>35</v>
      </c>
      <c r="G218" t="s">
        <v>359</v>
      </c>
      <c r="H218" t="s">
        <v>848</v>
      </c>
      <c r="J218" t="s">
        <v>849</v>
      </c>
      <c r="K218" t="s">
        <v>149</v>
      </c>
      <c r="L218" t="s">
        <v>39</v>
      </c>
      <c r="M218" t="s">
        <v>27</v>
      </c>
      <c r="N218" t="s">
        <v>74</v>
      </c>
      <c r="O218" t="s">
        <v>29</v>
      </c>
      <c r="P218" t="s">
        <v>89</v>
      </c>
    </row>
    <row r="219" spans="1:16" x14ac:dyDescent="0.25">
      <c r="A219" t="s">
        <v>846</v>
      </c>
      <c r="B219" t="s">
        <v>31</v>
      </c>
      <c r="C219" t="s">
        <v>18</v>
      </c>
      <c r="D219" t="s">
        <v>850</v>
      </c>
      <c r="E219" t="s">
        <v>201</v>
      </c>
      <c r="F219" t="s">
        <v>35</v>
      </c>
      <c r="G219" t="s">
        <v>359</v>
      </c>
      <c r="J219" t="s">
        <v>851</v>
      </c>
      <c r="K219" t="s">
        <v>149</v>
      </c>
      <c r="L219" t="s">
        <v>852</v>
      </c>
      <c r="M219" t="s">
        <v>27</v>
      </c>
      <c r="N219" t="s">
        <v>74</v>
      </c>
      <c r="O219" t="s">
        <v>29</v>
      </c>
      <c r="P219" t="s">
        <v>89</v>
      </c>
    </row>
    <row r="220" spans="1:16" x14ac:dyDescent="0.25">
      <c r="A220" t="s">
        <v>853</v>
      </c>
      <c r="B220" t="s">
        <v>17</v>
      </c>
      <c r="C220" t="s">
        <v>18</v>
      </c>
      <c r="D220" t="s">
        <v>854</v>
      </c>
      <c r="E220" t="s">
        <v>201</v>
      </c>
      <c r="F220" t="s">
        <v>35</v>
      </c>
      <c r="G220" t="s">
        <v>304</v>
      </c>
      <c r="H220" t="s">
        <v>855</v>
      </c>
      <c r="J220" t="s">
        <v>218</v>
      </c>
      <c r="K220" t="s">
        <v>149</v>
      </c>
      <c r="L220" t="s">
        <v>307</v>
      </c>
      <c r="M220" t="s">
        <v>27</v>
      </c>
      <c r="N220" t="s">
        <v>74</v>
      </c>
      <c r="O220" t="s">
        <v>29</v>
      </c>
      <c r="P220" t="s">
        <v>89</v>
      </c>
    </row>
    <row r="221" spans="1:16" x14ac:dyDescent="0.25">
      <c r="A221" t="s">
        <v>853</v>
      </c>
      <c r="B221" t="s">
        <v>31</v>
      </c>
      <c r="C221" t="s">
        <v>18</v>
      </c>
      <c r="D221" t="s">
        <v>856</v>
      </c>
      <c r="E221" t="s">
        <v>201</v>
      </c>
      <c r="F221" t="s">
        <v>35</v>
      </c>
      <c r="G221" t="s">
        <v>304</v>
      </c>
      <c r="J221" t="s">
        <v>220</v>
      </c>
      <c r="K221" t="s">
        <v>149</v>
      </c>
      <c r="L221" t="s">
        <v>307</v>
      </c>
      <c r="M221" t="s">
        <v>27</v>
      </c>
      <c r="N221" t="s">
        <v>74</v>
      </c>
      <c r="O221" t="s">
        <v>29</v>
      </c>
      <c r="P221" t="s">
        <v>89</v>
      </c>
    </row>
    <row r="222" spans="1:16" x14ac:dyDescent="0.25">
      <c r="A222" t="s">
        <v>857</v>
      </c>
      <c r="B222" t="s">
        <v>17</v>
      </c>
      <c r="C222" t="s">
        <v>18</v>
      </c>
      <c r="D222" t="s">
        <v>858</v>
      </c>
      <c r="E222" t="s">
        <v>201</v>
      </c>
      <c r="F222" t="s">
        <v>35</v>
      </c>
      <c r="G222" t="s">
        <v>318</v>
      </c>
      <c r="H222" t="s">
        <v>859</v>
      </c>
      <c r="J222" t="s">
        <v>860</v>
      </c>
      <c r="K222" t="s">
        <v>149</v>
      </c>
      <c r="L222" t="s">
        <v>81</v>
      </c>
      <c r="M222" t="s">
        <v>27</v>
      </c>
      <c r="N222" t="s">
        <v>74</v>
      </c>
      <c r="O222" t="s">
        <v>29</v>
      </c>
      <c r="P222" t="s">
        <v>89</v>
      </c>
    </row>
    <row r="223" spans="1:16" x14ac:dyDescent="0.25">
      <c r="A223" t="s">
        <v>857</v>
      </c>
      <c r="B223" t="s">
        <v>31</v>
      </c>
      <c r="C223" t="s">
        <v>18</v>
      </c>
      <c r="D223" t="s">
        <v>861</v>
      </c>
      <c r="E223" t="s">
        <v>201</v>
      </c>
      <c r="F223" t="s">
        <v>35</v>
      </c>
      <c r="G223" t="s">
        <v>318</v>
      </c>
      <c r="J223" t="s">
        <v>862</v>
      </c>
      <c r="K223" t="s">
        <v>149</v>
      </c>
      <c r="L223" t="s">
        <v>81</v>
      </c>
      <c r="M223" t="s">
        <v>27</v>
      </c>
      <c r="N223" t="s">
        <v>74</v>
      </c>
      <c r="O223" t="s">
        <v>29</v>
      </c>
      <c r="P223" t="s">
        <v>89</v>
      </c>
    </row>
    <row r="224" spans="1:16" x14ac:dyDescent="0.25">
      <c r="A224" t="s">
        <v>863</v>
      </c>
      <c r="B224" t="s">
        <v>17</v>
      </c>
      <c r="C224" t="s">
        <v>18</v>
      </c>
      <c r="D224" t="s">
        <v>864</v>
      </c>
      <c r="E224" t="s">
        <v>201</v>
      </c>
      <c r="F224" t="s">
        <v>35</v>
      </c>
      <c r="G224" t="s">
        <v>261</v>
      </c>
      <c r="H224" t="s">
        <v>865</v>
      </c>
      <c r="J224" t="s">
        <v>866</v>
      </c>
      <c r="K224" t="s">
        <v>149</v>
      </c>
      <c r="L224" t="s">
        <v>122</v>
      </c>
      <c r="M224" t="s">
        <v>27</v>
      </c>
      <c r="N224" t="s">
        <v>74</v>
      </c>
      <c r="O224" t="s">
        <v>29</v>
      </c>
      <c r="P224" t="s">
        <v>89</v>
      </c>
    </row>
    <row r="225" spans="1:16" x14ac:dyDescent="0.25">
      <c r="A225" t="s">
        <v>863</v>
      </c>
      <c r="B225" t="s">
        <v>31</v>
      </c>
      <c r="C225" t="s">
        <v>18</v>
      </c>
      <c r="D225" t="s">
        <v>867</v>
      </c>
      <c r="E225" t="s">
        <v>201</v>
      </c>
      <c r="F225" t="s">
        <v>35</v>
      </c>
      <c r="G225" t="s">
        <v>261</v>
      </c>
      <c r="J225" t="s">
        <v>868</v>
      </c>
      <c r="K225" t="s">
        <v>149</v>
      </c>
      <c r="L225" t="s">
        <v>122</v>
      </c>
      <c r="M225" t="s">
        <v>27</v>
      </c>
      <c r="N225" t="s">
        <v>74</v>
      </c>
      <c r="O225" t="s">
        <v>29</v>
      </c>
      <c r="P225" t="s">
        <v>89</v>
      </c>
    </row>
    <row r="226" spans="1:16" x14ac:dyDescent="0.25">
      <c r="A226" t="s">
        <v>869</v>
      </c>
      <c r="B226" t="s">
        <v>17</v>
      </c>
      <c r="C226" t="s">
        <v>18</v>
      </c>
      <c r="D226" t="s">
        <v>870</v>
      </c>
      <c r="E226" t="s">
        <v>201</v>
      </c>
      <c r="F226" t="s">
        <v>35</v>
      </c>
      <c r="G226" t="s">
        <v>323</v>
      </c>
      <c r="H226" t="s">
        <v>871</v>
      </c>
      <c r="J226" t="s">
        <v>872</v>
      </c>
      <c r="K226" t="s">
        <v>149</v>
      </c>
      <c r="L226" t="s">
        <v>81</v>
      </c>
      <c r="M226" t="s">
        <v>27</v>
      </c>
      <c r="N226" t="s">
        <v>74</v>
      </c>
      <c r="O226" t="s">
        <v>29</v>
      </c>
      <c r="P226" t="s">
        <v>89</v>
      </c>
    </row>
    <row r="227" spans="1:16" x14ac:dyDescent="0.25">
      <c r="A227" t="s">
        <v>869</v>
      </c>
      <c r="B227" t="s">
        <v>31</v>
      </c>
      <c r="C227" t="s">
        <v>18</v>
      </c>
      <c r="D227" t="s">
        <v>873</v>
      </c>
      <c r="E227" t="s">
        <v>201</v>
      </c>
      <c r="F227" t="s">
        <v>35</v>
      </c>
      <c r="G227" t="s">
        <v>323</v>
      </c>
      <c r="J227" t="s">
        <v>874</v>
      </c>
      <c r="K227" t="s">
        <v>149</v>
      </c>
      <c r="L227" t="s">
        <v>81</v>
      </c>
      <c r="M227" t="s">
        <v>27</v>
      </c>
      <c r="N227" t="s">
        <v>74</v>
      </c>
      <c r="O227" t="s">
        <v>29</v>
      </c>
      <c r="P227" t="s">
        <v>89</v>
      </c>
    </row>
    <row r="228" spans="1:16" x14ac:dyDescent="0.25">
      <c r="A228" t="s">
        <v>875</v>
      </c>
      <c r="B228" t="s">
        <v>17</v>
      </c>
      <c r="C228" t="s">
        <v>18</v>
      </c>
      <c r="D228" t="s">
        <v>876</v>
      </c>
      <c r="E228" t="s">
        <v>201</v>
      </c>
      <c r="F228" t="s">
        <v>35</v>
      </c>
      <c r="G228" t="s">
        <v>267</v>
      </c>
      <c r="H228" t="s">
        <v>877</v>
      </c>
      <c r="J228" t="s">
        <v>878</v>
      </c>
      <c r="K228" t="s">
        <v>149</v>
      </c>
      <c r="L228" t="s">
        <v>122</v>
      </c>
      <c r="M228" t="s">
        <v>27</v>
      </c>
      <c r="N228" t="s">
        <v>74</v>
      </c>
      <c r="O228" t="s">
        <v>29</v>
      </c>
      <c r="P228" t="s">
        <v>89</v>
      </c>
    </row>
    <row r="229" spans="1:16" x14ac:dyDescent="0.25">
      <c r="A229" t="s">
        <v>875</v>
      </c>
      <c r="B229" t="s">
        <v>31</v>
      </c>
      <c r="C229" t="s">
        <v>18</v>
      </c>
      <c r="D229" t="s">
        <v>879</v>
      </c>
      <c r="E229" t="s">
        <v>201</v>
      </c>
      <c r="F229" t="s">
        <v>35</v>
      </c>
      <c r="G229" t="s">
        <v>267</v>
      </c>
      <c r="J229" t="s">
        <v>880</v>
      </c>
      <c r="K229" t="s">
        <v>149</v>
      </c>
      <c r="L229" t="s">
        <v>122</v>
      </c>
      <c r="M229" t="s">
        <v>27</v>
      </c>
      <c r="N229" t="s">
        <v>74</v>
      </c>
      <c r="O229" t="s">
        <v>29</v>
      </c>
      <c r="P229" t="s">
        <v>89</v>
      </c>
    </row>
    <row r="230" spans="1:16" x14ac:dyDescent="0.25">
      <c r="A230" t="s">
        <v>881</v>
      </c>
      <c r="B230" t="s">
        <v>17</v>
      </c>
      <c r="C230" t="s">
        <v>18</v>
      </c>
      <c r="D230" t="s">
        <v>882</v>
      </c>
      <c r="E230" t="s">
        <v>201</v>
      </c>
      <c r="F230" t="s">
        <v>35</v>
      </c>
      <c r="G230" t="s">
        <v>883</v>
      </c>
      <c r="H230" t="s">
        <v>884</v>
      </c>
      <c r="J230" t="s">
        <v>885</v>
      </c>
      <c r="K230" t="s">
        <v>149</v>
      </c>
      <c r="L230" t="s">
        <v>886</v>
      </c>
      <c r="M230" t="s">
        <v>27</v>
      </c>
      <c r="N230" t="s">
        <v>74</v>
      </c>
      <c r="O230" t="s">
        <v>29</v>
      </c>
      <c r="P230" t="s">
        <v>89</v>
      </c>
    </row>
    <row r="231" spans="1:16" x14ac:dyDescent="0.25">
      <c r="A231" t="s">
        <v>881</v>
      </c>
      <c r="B231" t="s">
        <v>31</v>
      </c>
      <c r="C231" t="s">
        <v>18</v>
      </c>
      <c r="D231" t="s">
        <v>887</v>
      </c>
      <c r="E231" t="s">
        <v>201</v>
      </c>
      <c r="F231" t="s">
        <v>35</v>
      </c>
      <c r="G231" t="s">
        <v>883</v>
      </c>
      <c r="J231" t="s">
        <v>888</v>
      </c>
      <c r="K231" t="s">
        <v>149</v>
      </c>
      <c r="L231" t="s">
        <v>509</v>
      </c>
      <c r="M231" t="s">
        <v>27</v>
      </c>
      <c r="N231" t="s">
        <v>74</v>
      </c>
      <c r="O231" t="s">
        <v>29</v>
      </c>
      <c r="P231" t="s">
        <v>89</v>
      </c>
    </row>
    <row r="232" spans="1:16" x14ac:dyDescent="0.25">
      <c r="A232" t="s">
        <v>889</v>
      </c>
      <c r="B232" t="s">
        <v>17</v>
      </c>
      <c r="C232" t="s">
        <v>18</v>
      </c>
      <c r="D232" t="s">
        <v>890</v>
      </c>
      <c r="E232" t="s">
        <v>201</v>
      </c>
      <c r="F232" t="s">
        <v>35</v>
      </c>
      <c r="G232" t="s">
        <v>891</v>
      </c>
      <c r="H232" t="s">
        <v>892</v>
      </c>
      <c r="J232" t="s">
        <v>893</v>
      </c>
      <c r="K232" t="s">
        <v>149</v>
      </c>
      <c r="L232" t="s">
        <v>226</v>
      </c>
      <c r="M232" t="s">
        <v>27</v>
      </c>
      <c r="N232" t="s">
        <v>74</v>
      </c>
      <c r="O232" t="s">
        <v>29</v>
      </c>
      <c r="P232" t="s">
        <v>89</v>
      </c>
    </row>
    <row r="233" spans="1:16" x14ac:dyDescent="0.25">
      <c r="A233" t="s">
        <v>889</v>
      </c>
      <c r="B233" t="s">
        <v>31</v>
      </c>
      <c r="C233" t="s">
        <v>18</v>
      </c>
      <c r="D233" t="s">
        <v>894</v>
      </c>
      <c r="E233" t="s">
        <v>201</v>
      </c>
      <c r="F233" t="s">
        <v>35</v>
      </c>
      <c r="G233" t="s">
        <v>891</v>
      </c>
      <c r="J233" t="s">
        <v>895</v>
      </c>
      <c r="K233" t="s">
        <v>149</v>
      </c>
      <c r="L233" t="s">
        <v>212</v>
      </c>
      <c r="M233" t="s">
        <v>27</v>
      </c>
      <c r="N233" t="s">
        <v>74</v>
      </c>
      <c r="O233" t="s">
        <v>29</v>
      </c>
      <c r="P233" t="s">
        <v>89</v>
      </c>
    </row>
    <row r="234" spans="1:16" x14ac:dyDescent="0.25">
      <c r="A234" t="s">
        <v>896</v>
      </c>
      <c r="B234" t="s">
        <v>17</v>
      </c>
      <c r="C234" t="s">
        <v>18</v>
      </c>
      <c r="D234" t="s">
        <v>897</v>
      </c>
      <c r="E234" t="s">
        <v>201</v>
      </c>
      <c r="F234" t="s">
        <v>35</v>
      </c>
      <c r="G234" t="s">
        <v>898</v>
      </c>
      <c r="H234" t="s">
        <v>899</v>
      </c>
      <c r="J234" t="s">
        <v>872</v>
      </c>
      <c r="K234" t="s">
        <v>149</v>
      </c>
      <c r="L234" t="s">
        <v>900</v>
      </c>
      <c r="M234" t="s">
        <v>27</v>
      </c>
      <c r="N234" t="s">
        <v>74</v>
      </c>
      <c r="O234" t="s">
        <v>29</v>
      </c>
      <c r="P234" t="s">
        <v>89</v>
      </c>
    </row>
    <row r="235" spans="1:16" x14ac:dyDescent="0.25">
      <c r="A235" t="s">
        <v>896</v>
      </c>
      <c r="B235" t="s">
        <v>31</v>
      </c>
      <c r="C235" t="s">
        <v>18</v>
      </c>
      <c r="D235" t="s">
        <v>901</v>
      </c>
      <c r="E235" t="s">
        <v>201</v>
      </c>
      <c r="F235" t="s">
        <v>35</v>
      </c>
      <c r="G235" t="s">
        <v>898</v>
      </c>
      <c r="J235" t="s">
        <v>902</v>
      </c>
      <c r="K235" t="s">
        <v>149</v>
      </c>
      <c r="L235" t="s">
        <v>900</v>
      </c>
      <c r="M235" t="s">
        <v>27</v>
      </c>
      <c r="N235" t="s">
        <v>74</v>
      </c>
      <c r="O235" t="s">
        <v>29</v>
      </c>
      <c r="P235" t="s">
        <v>89</v>
      </c>
    </row>
    <row r="236" spans="1:16" x14ac:dyDescent="0.25">
      <c r="A236" t="s">
        <v>903</v>
      </c>
      <c r="B236" t="s">
        <v>17</v>
      </c>
      <c r="C236" t="s">
        <v>18</v>
      </c>
      <c r="D236" t="s">
        <v>904</v>
      </c>
      <c r="E236" t="s">
        <v>201</v>
      </c>
      <c r="F236" t="s">
        <v>35</v>
      </c>
      <c r="G236" t="s">
        <v>905</v>
      </c>
      <c r="H236" t="s">
        <v>906</v>
      </c>
      <c r="J236" t="s">
        <v>885</v>
      </c>
      <c r="K236" t="s">
        <v>149</v>
      </c>
      <c r="L236" t="s">
        <v>273</v>
      </c>
      <c r="M236" t="s">
        <v>27</v>
      </c>
      <c r="N236" t="s">
        <v>74</v>
      </c>
      <c r="O236" t="s">
        <v>29</v>
      </c>
      <c r="P236" t="s">
        <v>89</v>
      </c>
    </row>
    <row r="237" spans="1:16" x14ac:dyDescent="0.25">
      <c r="A237" t="s">
        <v>903</v>
      </c>
      <c r="B237" t="s">
        <v>31</v>
      </c>
      <c r="C237" t="s">
        <v>18</v>
      </c>
      <c r="D237" t="s">
        <v>907</v>
      </c>
      <c r="E237" t="s">
        <v>201</v>
      </c>
      <c r="F237" t="s">
        <v>35</v>
      </c>
      <c r="G237" t="s">
        <v>905</v>
      </c>
      <c r="J237" t="s">
        <v>888</v>
      </c>
      <c r="K237" t="s">
        <v>149</v>
      </c>
      <c r="L237" t="s">
        <v>226</v>
      </c>
      <c r="M237" t="s">
        <v>27</v>
      </c>
      <c r="N237" t="s">
        <v>74</v>
      </c>
      <c r="O237" t="s">
        <v>29</v>
      </c>
      <c r="P237" t="s">
        <v>89</v>
      </c>
    </row>
    <row r="238" spans="1:16" x14ac:dyDescent="0.25">
      <c r="A238" t="s">
        <v>908</v>
      </c>
      <c r="B238" t="s">
        <v>17</v>
      </c>
      <c r="C238" t="s">
        <v>18</v>
      </c>
      <c r="D238" t="s">
        <v>909</v>
      </c>
      <c r="E238" t="s">
        <v>201</v>
      </c>
      <c r="F238" t="s">
        <v>35</v>
      </c>
      <c r="G238" t="s">
        <v>235</v>
      </c>
      <c r="H238" t="s">
        <v>910</v>
      </c>
      <c r="J238" t="s">
        <v>911</v>
      </c>
      <c r="K238" t="s">
        <v>149</v>
      </c>
      <c r="L238" t="s">
        <v>912</v>
      </c>
      <c r="M238" t="s">
        <v>27</v>
      </c>
      <c r="N238" t="s">
        <v>74</v>
      </c>
      <c r="O238" t="s">
        <v>29</v>
      </c>
      <c r="P238" t="s">
        <v>89</v>
      </c>
    </row>
    <row r="239" spans="1:16" x14ac:dyDescent="0.25">
      <c r="A239" t="s">
        <v>908</v>
      </c>
      <c r="B239" t="s">
        <v>31</v>
      </c>
      <c r="C239" t="s">
        <v>18</v>
      </c>
      <c r="D239" t="s">
        <v>913</v>
      </c>
      <c r="E239" t="s">
        <v>201</v>
      </c>
      <c r="F239" t="s">
        <v>35</v>
      </c>
      <c r="G239" t="s">
        <v>235</v>
      </c>
      <c r="J239" t="s">
        <v>914</v>
      </c>
      <c r="K239" t="s">
        <v>149</v>
      </c>
      <c r="L239" t="s">
        <v>912</v>
      </c>
      <c r="M239" t="s">
        <v>27</v>
      </c>
      <c r="N239" t="s">
        <v>74</v>
      </c>
      <c r="O239" t="s">
        <v>29</v>
      </c>
      <c r="P239" t="s">
        <v>89</v>
      </c>
    </row>
    <row r="240" spans="1:16" x14ac:dyDescent="0.25">
      <c r="A240" t="s">
        <v>915</v>
      </c>
      <c r="B240" t="s">
        <v>17</v>
      </c>
      <c r="C240" t="s">
        <v>18</v>
      </c>
      <c r="D240" t="s">
        <v>916</v>
      </c>
      <c r="E240" t="s">
        <v>201</v>
      </c>
      <c r="F240" t="s">
        <v>35</v>
      </c>
      <c r="G240" t="s">
        <v>210</v>
      </c>
      <c r="H240" t="s">
        <v>917</v>
      </c>
      <c r="J240" t="s">
        <v>918</v>
      </c>
      <c r="K240" t="s">
        <v>149</v>
      </c>
      <c r="L240" t="s">
        <v>273</v>
      </c>
      <c r="M240" t="s">
        <v>27</v>
      </c>
      <c r="N240" t="s">
        <v>74</v>
      </c>
      <c r="O240" t="s">
        <v>29</v>
      </c>
      <c r="P240" t="s">
        <v>89</v>
      </c>
    </row>
    <row r="241" spans="1:16" x14ac:dyDescent="0.25">
      <c r="A241" t="s">
        <v>915</v>
      </c>
      <c r="B241" t="s">
        <v>31</v>
      </c>
      <c r="C241" t="s">
        <v>18</v>
      </c>
      <c r="D241" t="s">
        <v>919</v>
      </c>
      <c r="E241" t="s">
        <v>201</v>
      </c>
      <c r="F241" t="s">
        <v>35</v>
      </c>
      <c r="G241" t="s">
        <v>210</v>
      </c>
      <c r="J241" t="s">
        <v>902</v>
      </c>
      <c r="K241" t="s">
        <v>149</v>
      </c>
      <c r="L241" t="s">
        <v>273</v>
      </c>
      <c r="M241" t="s">
        <v>27</v>
      </c>
      <c r="N241" t="s">
        <v>74</v>
      </c>
      <c r="O241" t="s">
        <v>29</v>
      </c>
      <c r="P241" t="s">
        <v>89</v>
      </c>
    </row>
    <row r="242" spans="1:16" x14ac:dyDescent="0.25">
      <c r="A242" t="s">
        <v>920</v>
      </c>
      <c r="B242" t="s">
        <v>17</v>
      </c>
      <c r="C242" t="s">
        <v>18</v>
      </c>
      <c r="D242" t="s">
        <v>921</v>
      </c>
      <c r="E242" t="s">
        <v>201</v>
      </c>
      <c r="F242" t="s">
        <v>35</v>
      </c>
      <c r="G242" t="s">
        <v>202</v>
      </c>
      <c r="H242" t="s">
        <v>922</v>
      </c>
      <c r="J242" t="s">
        <v>911</v>
      </c>
      <c r="K242" t="s">
        <v>149</v>
      </c>
      <c r="L242" t="s">
        <v>923</v>
      </c>
      <c r="M242" t="s">
        <v>27</v>
      </c>
      <c r="N242" t="s">
        <v>74</v>
      </c>
      <c r="O242" t="s">
        <v>29</v>
      </c>
      <c r="P242" t="s">
        <v>89</v>
      </c>
    </row>
    <row r="243" spans="1:16" x14ac:dyDescent="0.25">
      <c r="A243" t="s">
        <v>920</v>
      </c>
      <c r="B243" t="s">
        <v>31</v>
      </c>
      <c r="C243" t="s">
        <v>18</v>
      </c>
      <c r="D243" t="s">
        <v>924</v>
      </c>
      <c r="E243" t="s">
        <v>201</v>
      </c>
      <c r="F243" t="s">
        <v>35</v>
      </c>
      <c r="G243" t="s">
        <v>202</v>
      </c>
      <c r="J243" t="s">
        <v>925</v>
      </c>
      <c r="K243" t="s">
        <v>149</v>
      </c>
      <c r="L243" t="s">
        <v>923</v>
      </c>
      <c r="M243" t="s">
        <v>27</v>
      </c>
      <c r="N243" t="s">
        <v>74</v>
      </c>
      <c r="O243" t="s">
        <v>29</v>
      </c>
      <c r="P243" t="s">
        <v>89</v>
      </c>
    </row>
    <row r="244" spans="1:16" x14ac:dyDescent="0.25">
      <c r="A244" t="s">
        <v>926</v>
      </c>
      <c r="B244" t="s">
        <v>17</v>
      </c>
      <c r="C244" t="s">
        <v>18</v>
      </c>
      <c r="D244" t="s">
        <v>927</v>
      </c>
      <c r="E244" t="s">
        <v>201</v>
      </c>
      <c r="F244" t="s">
        <v>35</v>
      </c>
      <c r="G244" t="s">
        <v>223</v>
      </c>
      <c r="H244" t="s">
        <v>928</v>
      </c>
      <c r="J244" t="s">
        <v>885</v>
      </c>
      <c r="K244" t="s">
        <v>149</v>
      </c>
      <c r="L244" t="s">
        <v>280</v>
      </c>
      <c r="M244" t="s">
        <v>27</v>
      </c>
      <c r="N244" t="s">
        <v>74</v>
      </c>
      <c r="O244" t="s">
        <v>29</v>
      </c>
      <c r="P244" t="s">
        <v>89</v>
      </c>
    </row>
    <row r="245" spans="1:16" x14ac:dyDescent="0.25">
      <c r="A245" t="s">
        <v>926</v>
      </c>
      <c r="B245" t="s">
        <v>31</v>
      </c>
      <c r="C245" t="s">
        <v>18</v>
      </c>
      <c r="D245" t="s">
        <v>929</v>
      </c>
      <c r="E245" t="s">
        <v>201</v>
      </c>
      <c r="F245" t="s">
        <v>35</v>
      </c>
      <c r="G245" t="s">
        <v>223</v>
      </c>
      <c r="J245" t="s">
        <v>220</v>
      </c>
      <c r="K245" t="s">
        <v>149</v>
      </c>
      <c r="L245" t="s">
        <v>280</v>
      </c>
      <c r="M245" t="s">
        <v>27</v>
      </c>
      <c r="N245" t="s">
        <v>74</v>
      </c>
      <c r="O245" t="s">
        <v>29</v>
      </c>
      <c r="P245" t="s">
        <v>89</v>
      </c>
    </row>
    <row r="246" spans="1:16" x14ac:dyDescent="0.25">
      <c r="A246" t="s">
        <v>930</v>
      </c>
      <c r="B246" t="s">
        <v>17</v>
      </c>
      <c r="C246" t="s">
        <v>18</v>
      </c>
      <c r="D246" t="s">
        <v>931</v>
      </c>
      <c r="E246" t="s">
        <v>201</v>
      </c>
      <c r="F246" t="s">
        <v>35</v>
      </c>
      <c r="G246" t="s">
        <v>341</v>
      </c>
      <c r="H246" t="s">
        <v>932</v>
      </c>
      <c r="J246" t="s">
        <v>874</v>
      </c>
      <c r="K246" t="s">
        <v>149</v>
      </c>
      <c r="L246" t="s">
        <v>212</v>
      </c>
      <c r="M246" t="s">
        <v>27</v>
      </c>
      <c r="N246" t="s">
        <v>74</v>
      </c>
      <c r="O246" t="s">
        <v>29</v>
      </c>
      <c r="P246" t="s">
        <v>89</v>
      </c>
    </row>
    <row r="247" spans="1:16" x14ac:dyDescent="0.25">
      <c r="A247" t="s">
        <v>930</v>
      </c>
      <c r="B247" t="s">
        <v>31</v>
      </c>
      <c r="C247" t="s">
        <v>18</v>
      </c>
      <c r="D247" t="s">
        <v>933</v>
      </c>
      <c r="E247" t="s">
        <v>201</v>
      </c>
      <c r="F247" t="s">
        <v>35</v>
      </c>
      <c r="G247" t="s">
        <v>341</v>
      </c>
      <c r="J247" t="s">
        <v>934</v>
      </c>
      <c r="K247" t="s">
        <v>149</v>
      </c>
      <c r="L247" t="s">
        <v>214</v>
      </c>
      <c r="M247" t="s">
        <v>27</v>
      </c>
      <c r="N247" t="s">
        <v>74</v>
      </c>
      <c r="O247" t="s">
        <v>29</v>
      </c>
      <c r="P247" t="s">
        <v>89</v>
      </c>
    </row>
    <row r="248" spans="1:16" x14ac:dyDescent="0.25">
      <c r="A248" t="s">
        <v>935</v>
      </c>
      <c r="B248" t="s">
        <v>17</v>
      </c>
      <c r="C248" t="s">
        <v>18</v>
      </c>
      <c r="D248" t="s">
        <v>936</v>
      </c>
      <c r="E248" t="s">
        <v>201</v>
      </c>
      <c r="F248" t="s">
        <v>35</v>
      </c>
      <c r="G248" t="s">
        <v>285</v>
      </c>
      <c r="H248" t="s">
        <v>937</v>
      </c>
      <c r="J248" t="s">
        <v>888</v>
      </c>
      <c r="K248" t="s">
        <v>149</v>
      </c>
      <c r="L248" t="s">
        <v>122</v>
      </c>
      <c r="M248" t="s">
        <v>27</v>
      </c>
      <c r="N248" t="s">
        <v>74</v>
      </c>
      <c r="O248" t="s">
        <v>29</v>
      </c>
      <c r="P248" t="s">
        <v>89</v>
      </c>
    </row>
    <row r="249" spans="1:16" x14ac:dyDescent="0.25">
      <c r="A249" t="s">
        <v>935</v>
      </c>
      <c r="B249" t="s">
        <v>31</v>
      </c>
      <c r="C249" t="s">
        <v>18</v>
      </c>
      <c r="D249" t="s">
        <v>938</v>
      </c>
      <c r="E249" t="s">
        <v>201</v>
      </c>
      <c r="F249" t="s">
        <v>35</v>
      </c>
      <c r="G249" t="s">
        <v>285</v>
      </c>
      <c r="J249" t="s">
        <v>939</v>
      </c>
      <c r="K249" t="s">
        <v>149</v>
      </c>
      <c r="L249" t="s">
        <v>122</v>
      </c>
      <c r="M249" t="s">
        <v>27</v>
      </c>
      <c r="N249" t="s">
        <v>74</v>
      </c>
      <c r="O249" t="s">
        <v>29</v>
      </c>
      <c r="P249" t="s">
        <v>89</v>
      </c>
    </row>
    <row r="250" spans="1:16" x14ac:dyDescent="0.25">
      <c r="A250" t="s">
        <v>940</v>
      </c>
      <c r="B250" t="s">
        <v>17</v>
      </c>
      <c r="C250" t="s">
        <v>18</v>
      </c>
      <c r="D250" t="s">
        <v>941</v>
      </c>
      <c r="E250" t="s">
        <v>201</v>
      </c>
      <c r="F250" t="s">
        <v>35</v>
      </c>
      <c r="G250" t="s">
        <v>346</v>
      </c>
      <c r="H250" t="s">
        <v>942</v>
      </c>
      <c r="J250" t="s">
        <v>943</v>
      </c>
      <c r="K250" t="s">
        <v>149</v>
      </c>
      <c r="L250" t="s">
        <v>212</v>
      </c>
      <c r="M250" t="s">
        <v>27</v>
      </c>
      <c r="N250" t="s">
        <v>74</v>
      </c>
      <c r="O250" t="s">
        <v>29</v>
      </c>
      <c r="P250" t="s">
        <v>89</v>
      </c>
    </row>
    <row r="251" spans="1:16" x14ac:dyDescent="0.25">
      <c r="A251" t="s">
        <v>940</v>
      </c>
      <c r="B251" t="s">
        <v>31</v>
      </c>
      <c r="C251" t="s">
        <v>18</v>
      </c>
      <c r="D251" t="s">
        <v>944</v>
      </c>
      <c r="E251" t="s">
        <v>201</v>
      </c>
      <c r="F251" t="s">
        <v>35</v>
      </c>
      <c r="G251" t="s">
        <v>346</v>
      </c>
      <c r="J251" t="s">
        <v>945</v>
      </c>
      <c r="K251" t="s">
        <v>149</v>
      </c>
      <c r="L251" t="s">
        <v>214</v>
      </c>
      <c r="M251" t="s">
        <v>27</v>
      </c>
      <c r="N251" t="s">
        <v>74</v>
      </c>
      <c r="O251" t="s">
        <v>29</v>
      </c>
      <c r="P251" t="s">
        <v>89</v>
      </c>
    </row>
    <row r="252" spans="1:16" x14ac:dyDescent="0.25">
      <c r="A252" t="s">
        <v>946</v>
      </c>
      <c r="B252" t="s">
        <v>17</v>
      </c>
      <c r="C252" t="s">
        <v>18</v>
      </c>
      <c r="D252" t="s">
        <v>947</v>
      </c>
      <c r="E252" t="s">
        <v>201</v>
      </c>
      <c r="F252" t="s">
        <v>35</v>
      </c>
      <c r="G252" t="s">
        <v>292</v>
      </c>
      <c r="H252" t="s">
        <v>948</v>
      </c>
      <c r="J252" t="s">
        <v>220</v>
      </c>
      <c r="K252" t="s">
        <v>149</v>
      </c>
      <c r="L252" t="s">
        <v>122</v>
      </c>
      <c r="M252" t="s">
        <v>27</v>
      </c>
      <c r="N252" t="s">
        <v>74</v>
      </c>
      <c r="O252" t="s">
        <v>29</v>
      </c>
      <c r="P252" t="s">
        <v>89</v>
      </c>
    </row>
    <row r="253" spans="1:16" x14ac:dyDescent="0.25">
      <c r="A253" t="s">
        <v>946</v>
      </c>
      <c r="B253" t="s">
        <v>31</v>
      </c>
      <c r="C253" t="s">
        <v>18</v>
      </c>
      <c r="D253" t="s">
        <v>949</v>
      </c>
      <c r="E253" t="s">
        <v>201</v>
      </c>
      <c r="F253" t="s">
        <v>35</v>
      </c>
      <c r="G253" t="s">
        <v>292</v>
      </c>
      <c r="J253" t="s">
        <v>939</v>
      </c>
      <c r="K253" t="s">
        <v>149</v>
      </c>
      <c r="L253" t="s">
        <v>122</v>
      </c>
      <c r="M253" t="s">
        <v>27</v>
      </c>
      <c r="N253" t="s">
        <v>74</v>
      </c>
      <c r="O253" t="s">
        <v>29</v>
      </c>
      <c r="P253" t="s">
        <v>89</v>
      </c>
    </row>
    <row r="254" spans="1:16" x14ac:dyDescent="0.25">
      <c r="A254" t="s">
        <v>950</v>
      </c>
      <c r="B254" t="s">
        <v>17</v>
      </c>
      <c r="C254" t="s">
        <v>18</v>
      </c>
      <c r="D254" t="s">
        <v>951</v>
      </c>
      <c r="E254" t="s">
        <v>201</v>
      </c>
      <c r="F254" t="s">
        <v>35</v>
      </c>
      <c r="G254" t="s">
        <v>952</v>
      </c>
      <c r="H254" t="s">
        <v>953</v>
      </c>
      <c r="J254" t="s">
        <v>954</v>
      </c>
      <c r="K254" t="s">
        <v>149</v>
      </c>
      <c r="L254" t="s">
        <v>81</v>
      </c>
      <c r="M254" t="s">
        <v>27</v>
      </c>
      <c r="N254" t="s">
        <v>74</v>
      </c>
      <c r="O254" t="s">
        <v>29</v>
      </c>
      <c r="P254" t="s">
        <v>89</v>
      </c>
    </row>
    <row r="255" spans="1:16" x14ac:dyDescent="0.25">
      <c r="A255" t="s">
        <v>950</v>
      </c>
      <c r="B255" t="s">
        <v>31</v>
      </c>
      <c r="C255" t="s">
        <v>18</v>
      </c>
      <c r="D255" t="s">
        <v>955</v>
      </c>
      <c r="E255" t="s">
        <v>201</v>
      </c>
      <c r="F255" t="s">
        <v>35</v>
      </c>
      <c r="G255" t="s">
        <v>952</v>
      </c>
      <c r="J255" t="s">
        <v>945</v>
      </c>
      <c r="K255" t="s">
        <v>149</v>
      </c>
      <c r="L255" t="s">
        <v>280</v>
      </c>
      <c r="M255" t="s">
        <v>27</v>
      </c>
      <c r="N255" t="s">
        <v>74</v>
      </c>
      <c r="O255" t="s">
        <v>29</v>
      </c>
      <c r="P255" t="s">
        <v>89</v>
      </c>
    </row>
    <row r="256" spans="1:16" x14ac:dyDescent="0.25">
      <c r="A256" t="s">
        <v>956</v>
      </c>
      <c r="B256" t="s">
        <v>17</v>
      </c>
      <c r="C256" t="s">
        <v>18</v>
      </c>
      <c r="D256" t="s">
        <v>957</v>
      </c>
      <c r="E256" t="s">
        <v>201</v>
      </c>
      <c r="F256" t="s">
        <v>35</v>
      </c>
      <c r="G256" t="s">
        <v>958</v>
      </c>
      <c r="H256" t="s">
        <v>959</v>
      </c>
      <c r="J256" t="s">
        <v>361</v>
      </c>
      <c r="K256" t="s">
        <v>149</v>
      </c>
      <c r="L256" t="s">
        <v>122</v>
      </c>
      <c r="M256" t="s">
        <v>27</v>
      </c>
      <c r="N256" t="s">
        <v>74</v>
      </c>
      <c r="O256" t="s">
        <v>29</v>
      </c>
      <c r="P256" t="s">
        <v>89</v>
      </c>
    </row>
    <row r="257" spans="1:16" x14ac:dyDescent="0.25">
      <c r="A257" t="s">
        <v>956</v>
      </c>
      <c r="B257" t="s">
        <v>31</v>
      </c>
      <c r="C257" t="s">
        <v>18</v>
      </c>
      <c r="D257" t="s">
        <v>960</v>
      </c>
      <c r="E257" t="s">
        <v>201</v>
      </c>
      <c r="F257" t="s">
        <v>35</v>
      </c>
      <c r="G257" t="s">
        <v>958</v>
      </c>
      <c r="J257" t="s">
        <v>365</v>
      </c>
      <c r="K257" t="s">
        <v>149</v>
      </c>
      <c r="L257" t="s">
        <v>122</v>
      </c>
      <c r="M257" t="s">
        <v>27</v>
      </c>
      <c r="N257" t="s">
        <v>74</v>
      </c>
      <c r="O257" t="s">
        <v>29</v>
      </c>
      <c r="P257" t="s">
        <v>89</v>
      </c>
    </row>
    <row r="258" spans="1:16" x14ac:dyDescent="0.25">
      <c r="A258" t="s">
        <v>961</v>
      </c>
      <c r="B258" t="s">
        <v>17</v>
      </c>
      <c r="C258" t="s">
        <v>18</v>
      </c>
      <c r="D258" t="s">
        <v>962</v>
      </c>
      <c r="E258" t="s">
        <v>201</v>
      </c>
      <c r="F258" t="s">
        <v>35</v>
      </c>
      <c r="G258" t="s">
        <v>963</v>
      </c>
      <c r="H258" t="s">
        <v>964</v>
      </c>
      <c r="J258" t="s">
        <v>939</v>
      </c>
      <c r="K258" t="s">
        <v>149</v>
      </c>
      <c r="L258" t="s">
        <v>280</v>
      </c>
      <c r="M258" t="s">
        <v>27</v>
      </c>
      <c r="N258" t="s">
        <v>74</v>
      </c>
      <c r="O258" t="s">
        <v>29</v>
      </c>
      <c r="P258" t="s">
        <v>89</v>
      </c>
    </row>
    <row r="259" spans="1:16" x14ac:dyDescent="0.25">
      <c r="A259" t="s">
        <v>961</v>
      </c>
      <c r="B259" t="s">
        <v>31</v>
      </c>
      <c r="C259" t="s">
        <v>18</v>
      </c>
      <c r="D259" t="s">
        <v>965</v>
      </c>
      <c r="E259" t="s">
        <v>201</v>
      </c>
      <c r="F259" t="s">
        <v>35</v>
      </c>
      <c r="G259" t="s">
        <v>963</v>
      </c>
      <c r="J259" t="s">
        <v>220</v>
      </c>
      <c r="K259" t="s">
        <v>149</v>
      </c>
      <c r="L259" t="s">
        <v>299</v>
      </c>
      <c r="M259" t="s">
        <v>27</v>
      </c>
      <c r="N259" t="s">
        <v>74</v>
      </c>
      <c r="O259" t="s">
        <v>29</v>
      </c>
      <c r="P259" t="s">
        <v>89</v>
      </c>
    </row>
    <row r="260" spans="1:16" x14ac:dyDescent="0.25">
      <c r="A260" t="s">
        <v>966</v>
      </c>
      <c r="B260" t="s">
        <v>17</v>
      </c>
      <c r="C260" t="s">
        <v>18</v>
      </c>
      <c r="D260" t="s">
        <v>967</v>
      </c>
      <c r="E260" t="s">
        <v>201</v>
      </c>
      <c r="F260" t="s">
        <v>35</v>
      </c>
      <c r="G260" t="s">
        <v>71</v>
      </c>
      <c r="H260" t="s">
        <v>968</v>
      </c>
      <c r="J260" t="s">
        <v>329</v>
      </c>
      <c r="K260" t="s">
        <v>149</v>
      </c>
      <c r="L260" t="s">
        <v>122</v>
      </c>
      <c r="M260" t="s">
        <v>27</v>
      </c>
      <c r="N260" t="s">
        <v>74</v>
      </c>
      <c r="O260" t="s">
        <v>29</v>
      </c>
      <c r="P260" t="s">
        <v>89</v>
      </c>
    </row>
    <row r="261" spans="1:16" x14ac:dyDescent="0.25">
      <c r="A261" t="s">
        <v>966</v>
      </c>
      <c r="B261" t="s">
        <v>31</v>
      </c>
      <c r="C261" t="s">
        <v>18</v>
      </c>
      <c r="D261" t="s">
        <v>969</v>
      </c>
      <c r="E261" t="s">
        <v>201</v>
      </c>
      <c r="F261" t="s">
        <v>35</v>
      </c>
      <c r="G261" t="s">
        <v>71</v>
      </c>
      <c r="J261" t="s">
        <v>282</v>
      </c>
      <c r="K261" t="s">
        <v>149</v>
      </c>
      <c r="L261" t="s">
        <v>122</v>
      </c>
      <c r="M261" t="s">
        <v>27</v>
      </c>
      <c r="N261" t="s">
        <v>74</v>
      </c>
      <c r="O261" t="s">
        <v>29</v>
      </c>
      <c r="P261" t="s">
        <v>89</v>
      </c>
    </row>
    <row r="262" spans="1:16" x14ac:dyDescent="0.25">
      <c r="A262" t="s">
        <v>970</v>
      </c>
      <c r="B262" t="s">
        <v>17</v>
      </c>
      <c r="C262" t="s">
        <v>18</v>
      </c>
      <c r="D262" t="s">
        <v>971</v>
      </c>
      <c r="E262" t="s">
        <v>201</v>
      </c>
      <c r="F262" t="s">
        <v>35</v>
      </c>
      <c r="G262" t="s">
        <v>972</v>
      </c>
      <c r="H262" t="s">
        <v>973</v>
      </c>
      <c r="J262" t="s">
        <v>954</v>
      </c>
      <c r="K262" t="s">
        <v>149</v>
      </c>
      <c r="L262" t="s">
        <v>122</v>
      </c>
      <c r="M262" t="s">
        <v>27</v>
      </c>
      <c r="N262" t="s">
        <v>74</v>
      </c>
      <c r="O262" t="s">
        <v>29</v>
      </c>
      <c r="P262" t="s">
        <v>89</v>
      </c>
    </row>
    <row r="263" spans="1:16" x14ac:dyDescent="0.25">
      <c r="A263" t="s">
        <v>970</v>
      </c>
      <c r="B263" t="s">
        <v>31</v>
      </c>
      <c r="C263" t="s">
        <v>18</v>
      </c>
      <c r="D263" t="s">
        <v>974</v>
      </c>
      <c r="E263" t="s">
        <v>201</v>
      </c>
      <c r="F263" t="s">
        <v>35</v>
      </c>
      <c r="G263" t="s">
        <v>972</v>
      </c>
      <c r="J263" t="s">
        <v>945</v>
      </c>
      <c r="K263" t="s">
        <v>149</v>
      </c>
      <c r="L263" t="s">
        <v>122</v>
      </c>
      <c r="M263" t="s">
        <v>27</v>
      </c>
      <c r="N263" t="s">
        <v>74</v>
      </c>
      <c r="O263" t="s">
        <v>29</v>
      </c>
      <c r="P263" t="s">
        <v>89</v>
      </c>
    </row>
    <row r="264" spans="1:16" x14ac:dyDescent="0.25">
      <c r="A264" t="s">
        <v>975</v>
      </c>
      <c r="B264" t="s">
        <v>17</v>
      </c>
      <c r="C264" t="s">
        <v>18</v>
      </c>
      <c r="D264" t="s">
        <v>976</v>
      </c>
      <c r="E264" t="s">
        <v>201</v>
      </c>
      <c r="F264" t="s">
        <v>35</v>
      </c>
      <c r="G264" t="s">
        <v>353</v>
      </c>
      <c r="H264" t="s">
        <v>977</v>
      </c>
      <c r="J264" t="s">
        <v>849</v>
      </c>
      <c r="K264" t="s">
        <v>149</v>
      </c>
      <c r="L264" t="s">
        <v>978</v>
      </c>
      <c r="M264" t="s">
        <v>27</v>
      </c>
      <c r="N264" t="s">
        <v>74</v>
      </c>
      <c r="O264" t="s">
        <v>29</v>
      </c>
      <c r="P264" t="s">
        <v>89</v>
      </c>
    </row>
    <row r="265" spans="1:16" x14ac:dyDescent="0.25">
      <c r="A265" t="s">
        <v>975</v>
      </c>
      <c r="B265" t="s">
        <v>31</v>
      </c>
      <c r="C265" t="s">
        <v>18</v>
      </c>
      <c r="D265" t="s">
        <v>979</v>
      </c>
      <c r="E265" t="s">
        <v>201</v>
      </c>
      <c r="F265" t="s">
        <v>35</v>
      </c>
      <c r="G265" t="s">
        <v>353</v>
      </c>
      <c r="J265" t="s">
        <v>851</v>
      </c>
      <c r="K265" t="s">
        <v>149</v>
      </c>
      <c r="L265" t="s">
        <v>205</v>
      </c>
      <c r="M265" t="s">
        <v>27</v>
      </c>
      <c r="N265" t="s">
        <v>74</v>
      </c>
      <c r="O265" t="s">
        <v>29</v>
      </c>
      <c r="P265" t="s">
        <v>89</v>
      </c>
    </row>
    <row r="266" spans="1:16" x14ac:dyDescent="0.25">
      <c r="A266" t="s">
        <v>980</v>
      </c>
      <c r="B266" t="s">
        <v>17</v>
      </c>
      <c r="C266" t="s">
        <v>18</v>
      </c>
      <c r="D266" t="s">
        <v>981</v>
      </c>
      <c r="E266" t="s">
        <v>201</v>
      </c>
      <c r="F266" t="s">
        <v>35</v>
      </c>
      <c r="G266" t="s">
        <v>297</v>
      </c>
      <c r="H266" t="s">
        <v>982</v>
      </c>
      <c r="J266" t="s">
        <v>983</v>
      </c>
      <c r="K266" t="s">
        <v>149</v>
      </c>
      <c r="L266" t="s">
        <v>273</v>
      </c>
      <c r="M266" t="s">
        <v>27</v>
      </c>
      <c r="N266" t="s">
        <v>74</v>
      </c>
      <c r="O266" t="s">
        <v>29</v>
      </c>
      <c r="P266" t="s">
        <v>89</v>
      </c>
    </row>
    <row r="267" spans="1:16" x14ac:dyDescent="0.25">
      <c r="A267" t="s">
        <v>980</v>
      </c>
      <c r="B267" t="s">
        <v>31</v>
      </c>
      <c r="C267" t="s">
        <v>18</v>
      </c>
      <c r="D267" t="s">
        <v>984</v>
      </c>
      <c r="E267" t="s">
        <v>201</v>
      </c>
      <c r="F267" t="s">
        <v>35</v>
      </c>
      <c r="G267" t="s">
        <v>297</v>
      </c>
      <c r="J267" t="s">
        <v>985</v>
      </c>
      <c r="K267" t="s">
        <v>149</v>
      </c>
      <c r="L267" t="s">
        <v>226</v>
      </c>
      <c r="M267" t="s">
        <v>27</v>
      </c>
      <c r="N267" t="s">
        <v>74</v>
      </c>
      <c r="O267" t="s">
        <v>29</v>
      </c>
      <c r="P267" t="s">
        <v>89</v>
      </c>
    </row>
    <row r="268" spans="1:16" x14ac:dyDescent="0.25">
      <c r="A268" t="s">
        <v>986</v>
      </c>
      <c r="B268" t="s">
        <v>17</v>
      </c>
      <c r="C268" t="s">
        <v>18</v>
      </c>
      <c r="D268" t="s">
        <v>987</v>
      </c>
      <c r="E268" t="s">
        <v>201</v>
      </c>
      <c r="F268" t="s">
        <v>35</v>
      </c>
      <c r="G268" t="s">
        <v>78</v>
      </c>
      <c r="H268" t="s">
        <v>988</v>
      </c>
      <c r="J268" t="s">
        <v>279</v>
      </c>
      <c r="K268" t="s">
        <v>149</v>
      </c>
      <c r="L268" t="s">
        <v>273</v>
      </c>
      <c r="M268" t="s">
        <v>27</v>
      </c>
      <c r="N268" t="s">
        <v>74</v>
      </c>
      <c r="O268" t="s">
        <v>29</v>
      </c>
      <c r="P268" t="s">
        <v>89</v>
      </c>
    </row>
    <row r="269" spans="1:16" x14ac:dyDescent="0.25">
      <c r="A269" t="s">
        <v>986</v>
      </c>
      <c r="B269" t="s">
        <v>31</v>
      </c>
      <c r="C269" t="s">
        <v>18</v>
      </c>
      <c r="D269" t="s">
        <v>989</v>
      </c>
      <c r="E269" t="s">
        <v>201</v>
      </c>
      <c r="F269" t="s">
        <v>35</v>
      </c>
      <c r="G269" t="s">
        <v>78</v>
      </c>
      <c r="J269" t="s">
        <v>282</v>
      </c>
      <c r="K269" t="s">
        <v>149</v>
      </c>
      <c r="L269" t="s">
        <v>226</v>
      </c>
      <c r="M269" t="s">
        <v>27</v>
      </c>
      <c r="N269" t="s">
        <v>74</v>
      </c>
      <c r="O269" t="s">
        <v>29</v>
      </c>
      <c r="P269" t="s">
        <v>89</v>
      </c>
    </row>
    <row r="270" spans="1:16" x14ac:dyDescent="0.25">
      <c r="A270" t="s">
        <v>990</v>
      </c>
      <c r="B270" t="s">
        <v>17</v>
      </c>
      <c r="C270" t="s">
        <v>18</v>
      </c>
      <c r="D270" t="s">
        <v>991</v>
      </c>
      <c r="E270" t="s">
        <v>144</v>
      </c>
      <c r="F270" t="s">
        <v>35</v>
      </c>
      <c r="G270" t="s">
        <v>992</v>
      </c>
      <c r="H270" t="s">
        <v>993</v>
      </c>
      <c r="J270" t="s">
        <v>994</v>
      </c>
      <c r="K270" t="s">
        <v>149</v>
      </c>
      <c r="L270" t="s">
        <v>95</v>
      </c>
      <c r="M270" t="s">
        <v>27</v>
      </c>
      <c r="N270" t="s">
        <v>74</v>
      </c>
      <c r="O270" t="s">
        <v>29</v>
      </c>
      <c r="P270" t="s">
        <v>89</v>
      </c>
    </row>
    <row r="271" spans="1:16" x14ac:dyDescent="0.25">
      <c r="A271" t="s">
        <v>990</v>
      </c>
      <c r="B271" t="s">
        <v>31</v>
      </c>
      <c r="C271" t="s">
        <v>18</v>
      </c>
      <c r="D271" t="s">
        <v>995</v>
      </c>
      <c r="E271" t="s">
        <v>144</v>
      </c>
      <c r="F271" t="s">
        <v>35</v>
      </c>
      <c r="G271" t="s">
        <v>992</v>
      </c>
      <c r="J271" t="s">
        <v>372</v>
      </c>
      <c r="K271" t="s">
        <v>149</v>
      </c>
      <c r="L271" t="s">
        <v>95</v>
      </c>
      <c r="M271" t="s">
        <v>27</v>
      </c>
      <c r="N271" t="s">
        <v>74</v>
      </c>
      <c r="O271" t="s">
        <v>29</v>
      </c>
      <c r="P271" t="s">
        <v>89</v>
      </c>
    </row>
    <row r="272" spans="1:16" x14ac:dyDescent="0.25">
      <c r="A272" t="s">
        <v>996</v>
      </c>
      <c r="B272" t="s">
        <v>17</v>
      </c>
      <c r="C272" t="s">
        <v>18</v>
      </c>
      <c r="D272" t="s">
        <v>997</v>
      </c>
      <c r="E272" t="s">
        <v>144</v>
      </c>
      <c r="F272" t="s">
        <v>21</v>
      </c>
      <c r="G272" t="s">
        <v>814</v>
      </c>
      <c r="H272" t="s">
        <v>998</v>
      </c>
      <c r="J272" t="s">
        <v>999</v>
      </c>
      <c r="K272" t="s">
        <v>149</v>
      </c>
      <c r="L272" t="s">
        <v>95</v>
      </c>
      <c r="M272" t="s">
        <v>27</v>
      </c>
      <c r="N272" t="s">
        <v>74</v>
      </c>
      <c r="O272" t="s">
        <v>29</v>
      </c>
      <c r="P272" t="s">
        <v>89</v>
      </c>
    </row>
    <row r="273" spans="1:16" x14ac:dyDescent="0.25">
      <c r="A273" t="s">
        <v>996</v>
      </c>
      <c r="B273" t="s">
        <v>31</v>
      </c>
      <c r="C273" t="s">
        <v>18</v>
      </c>
      <c r="D273" t="s">
        <v>1000</v>
      </c>
      <c r="E273" t="s">
        <v>144</v>
      </c>
      <c r="F273" t="s">
        <v>21</v>
      </c>
      <c r="G273" t="s">
        <v>814</v>
      </c>
      <c r="J273" t="s">
        <v>1001</v>
      </c>
      <c r="K273" t="s">
        <v>149</v>
      </c>
      <c r="L273" t="s">
        <v>95</v>
      </c>
      <c r="M273" t="s">
        <v>27</v>
      </c>
      <c r="N273" t="s">
        <v>74</v>
      </c>
      <c r="O273" t="s">
        <v>29</v>
      </c>
      <c r="P273" t="s">
        <v>89</v>
      </c>
    </row>
    <row r="274" spans="1:16" x14ac:dyDescent="0.25">
      <c r="A274" t="s">
        <v>996</v>
      </c>
      <c r="B274" t="s">
        <v>1002</v>
      </c>
      <c r="C274" t="s">
        <v>18</v>
      </c>
      <c r="D274" t="s">
        <v>1003</v>
      </c>
      <c r="E274" t="s">
        <v>144</v>
      </c>
      <c r="F274" t="s">
        <v>21</v>
      </c>
      <c r="G274" t="s">
        <v>814</v>
      </c>
      <c r="H274" t="s">
        <v>1004</v>
      </c>
      <c r="J274" t="s">
        <v>1005</v>
      </c>
      <c r="K274" t="s">
        <v>149</v>
      </c>
      <c r="L274" t="s">
        <v>122</v>
      </c>
      <c r="M274" t="s">
        <v>27</v>
      </c>
      <c r="N274" t="s">
        <v>74</v>
      </c>
      <c r="O274" t="s">
        <v>29</v>
      </c>
      <c r="P274" t="s">
        <v>89</v>
      </c>
    </row>
    <row r="275" spans="1:16" x14ac:dyDescent="0.25">
      <c r="A275" t="s">
        <v>1006</v>
      </c>
      <c r="B275" t="s">
        <v>51</v>
      </c>
      <c r="C275" t="s">
        <v>18</v>
      </c>
      <c r="D275" t="s">
        <v>1007</v>
      </c>
      <c r="E275" t="s">
        <v>435</v>
      </c>
      <c r="F275" t="s">
        <v>21</v>
      </c>
      <c r="G275" t="s">
        <v>1008</v>
      </c>
      <c r="H275" t="s">
        <v>1009</v>
      </c>
      <c r="J275" t="s">
        <v>1010</v>
      </c>
      <c r="K275" t="s">
        <v>149</v>
      </c>
      <c r="L275" t="s">
        <v>122</v>
      </c>
      <c r="M275" t="s">
        <v>27</v>
      </c>
      <c r="N275" t="s">
        <v>74</v>
      </c>
      <c r="O275" t="s">
        <v>29</v>
      </c>
      <c r="P275" t="s">
        <v>308</v>
      </c>
    </row>
    <row r="276" spans="1:16" x14ac:dyDescent="0.25">
      <c r="A276" t="s">
        <v>1011</v>
      </c>
      <c r="B276" t="s">
        <v>51</v>
      </c>
      <c r="C276" t="s">
        <v>18</v>
      </c>
      <c r="D276" t="s">
        <v>1012</v>
      </c>
      <c r="E276" t="s">
        <v>144</v>
      </c>
      <c r="F276" t="s">
        <v>1013</v>
      </c>
      <c r="G276" t="s">
        <v>1014</v>
      </c>
      <c r="H276" t="s">
        <v>1015</v>
      </c>
      <c r="J276" t="s">
        <v>1016</v>
      </c>
      <c r="K276" t="s">
        <v>149</v>
      </c>
      <c r="L276" t="s">
        <v>95</v>
      </c>
      <c r="M276" t="s">
        <v>27</v>
      </c>
      <c r="N276" t="s">
        <v>74</v>
      </c>
      <c r="O276" t="s">
        <v>29</v>
      </c>
      <c r="P276" t="s">
        <v>89</v>
      </c>
    </row>
    <row r="277" spans="1:16" x14ac:dyDescent="0.25">
      <c r="A277" t="s">
        <v>1017</v>
      </c>
      <c r="B277" t="s">
        <v>17</v>
      </c>
      <c r="C277" t="s">
        <v>18</v>
      </c>
      <c r="D277" t="s">
        <v>1018</v>
      </c>
      <c r="E277" t="s">
        <v>1019</v>
      </c>
      <c r="F277" t="s">
        <v>35</v>
      </c>
      <c r="G277" t="s">
        <v>1020</v>
      </c>
      <c r="H277" t="s">
        <v>1021</v>
      </c>
      <c r="J277" t="s">
        <v>860</v>
      </c>
      <c r="K277" t="s">
        <v>149</v>
      </c>
      <c r="L277" t="s">
        <v>273</v>
      </c>
      <c r="M277" t="s">
        <v>27</v>
      </c>
      <c r="N277" t="s">
        <v>74</v>
      </c>
      <c r="O277" t="s">
        <v>29</v>
      </c>
      <c r="P277" t="s">
        <v>89</v>
      </c>
    </row>
    <row r="278" spans="1:16" x14ac:dyDescent="0.25">
      <c r="A278" t="s">
        <v>1017</v>
      </c>
      <c r="B278" t="s">
        <v>31</v>
      </c>
      <c r="C278" t="s">
        <v>18</v>
      </c>
      <c r="D278" t="s">
        <v>1022</v>
      </c>
      <c r="E278" t="s">
        <v>1019</v>
      </c>
      <c r="F278" t="s">
        <v>35</v>
      </c>
      <c r="G278" t="s">
        <v>1020</v>
      </c>
      <c r="J278" t="s">
        <v>1023</v>
      </c>
      <c r="K278" t="s">
        <v>149</v>
      </c>
      <c r="L278" t="s">
        <v>273</v>
      </c>
      <c r="M278" t="s">
        <v>27</v>
      </c>
      <c r="N278" t="s">
        <v>74</v>
      </c>
      <c r="O278" t="s">
        <v>29</v>
      </c>
      <c r="P278" t="s">
        <v>89</v>
      </c>
    </row>
    <row r="279" spans="1:16" x14ac:dyDescent="0.25">
      <c r="A279" t="s">
        <v>1024</v>
      </c>
      <c r="B279" t="s">
        <v>17</v>
      </c>
      <c r="C279" t="s">
        <v>18</v>
      </c>
      <c r="D279" t="s">
        <v>1025</v>
      </c>
      <c r="E279" t="s">
        <v>144</v>
      </c>
      <c r="F279" t="s">
        <v>1026</v>
      </c>
      <c r="G279" t="s">
        <v>1027</v>
      </c>
      <c r="H279" t="s">
        <v>1028</v>
      </c>
      <c r="J279" t="s">
        <v>1029</v>
      </c>
      <c r="K279" t="s">
        <v>149</v>
      </c>
      <c r="L279" t="s">
        <v>95</v>
      </c>
      <c r="M279" t="s">
        <v>27</v>
      </c>
      <c r="N279" t="s">
        <v>645</v>
      </c>
      <c r="O279" t="s">
        <v>29</v>
      </c>
      <c r="P279" t="s">
        <v>89</v>
      </c>
    </row>
    <row r="280" spans="1:16" x14ac:dyDescent="0.25">
      <c r="A280" t="s">
        <v>1024</v>
      </c>
      <c r="B280" t="s">
        <v>31</v>
      </c>
      <c r="C280" t="s">
        <v>18</v>
      </c>
      <c r="D280" t="s">
        <v>1030</v>
      </c>
      <c r="E280" t="s">
        <v>144</v>
      </c>
      <c r="F280" t="s">
        <v>1026</v>
      </c>
      <c r="G280" t="s">
        <v>1027</v>
      </c>
      <c r="J280" t="s">
        <v>171</v>
      </c>
      <c r="K280" t="s">
        <v>149</v>
      </c>
      <c r="L280" t="s">
        <v>95</v>
      </c>
      <c r="M280" t="s">
        <v>27</v>
      </c>
      <c r="N280" t="s">
        <v>645</v>
      </c>
      <c r="O280" t="s">
        <v>29</v>
      </c>
      <c r="P280" t="s">
        <v>89</v>
      </c>
    </row>
    <row r="281" spans="1:16" x14ac:dyDescent="0.25">
      <c r="A281" t="s">
        <v>1031</v>
      </c>
      <c r="B281" t="s">
        <v>17</v>
      </c>
      <c r="C281" t="s">
        <v>18</v>
      </c>
      <c r="D281" t="s">
        <v>1032</v>
      </c>
      <c r="E281" t="s">
        <v>201</v>
      </c>
      <c r="F281" t="s">
        <v>107</v>
      </c>
      <c r="G281" t="s">
        <v>108</v>
      </c>
      <c r="H281" t="s">
        <v>1033</v>
      </c>
      <c r="J281" t="s">
        <v>911</v>
      </c>
      <c r="K281" t="s">
        <v>149</v>
      </c>
      <c r="L281" t="s">
        <v>212</v>
      </c>
      <c r="M281" t="s">
        <v>27</v>
      </c>
      <c r="N281" t="s">
        <v>645</v>
      </c>
      <c r="O281" t="s">
        <v>29</v>
      </c>
      <c r="P281" t="s">
        <v>111</v>
      </c>
    </row>
    <row r="282" spans="1:16" x14ac:dyDescent="0.25">
      <c r="A282" t="s">
        <v>1031</v>
      </c>
      <c r="B282" t="s">
        <v>31</v>
      </c>
      <c r="C282" t="s">
        <v>18</v>
      </c>
      <c r="D282" t="s">
        <v>1034</v>
      </c>
      <c r="E282" t="s">
        <v>201</v>
      </c>
      <c r="F282" t="s">
        <v>107</v>
      </c>
      <c r="G282" t="s">
        <v>108</v>
      </c>
      <c r="J282" t="s">
        <v>1035</v>
      </c>
      <c r="K282" t="s">
        <v>149</v>
      </c>
      <c r="L282" t="s">
        <v>214</v>
      </c>
      <c r="M282" t="s">
        <v>27</v>
      </c>
      <c r="N282" t="s">
        <v>645</v>
      </c>
      <c r="O282" t="s">
        <v>29</v>
      </c>
      <c r="P282" t="s">
        <v>111</v>
      </c>
    </row>
    <row r="283" spans="1:16" x14ac:dyDescent="0.25">
      <c r="A283" t="s">
        <v>1031</v>
      </c>
      <c r="B283" t="s">
        <v>113</v>
      </c>
      <c r="C283" t="s">
        <v>18</v>
      </c>
      <c r="D283" t="s">
        <v>1036</v>
      </c>
      <c r="E283" t="s">
        <v>201</v>
      </c>
      <c r="F283" t="s">
        <v>107</v>
      </c>
      <c r="G283" t="s">
        <v>108</v>
      </c>
      <c r="H283" t="s">
        <v>1037</v>
      </c>
      <c r="J283" t="s">
        <v>1038</v>
      </c>
      <c r="K283" t="s">
        <v>149</v>
      </c>
      <c r="L283" t="s">
        <v>212</v>
      </c>
      <c r="M283" t="s">
        <v>27</v>
      </c>
      <c r="N283" t="s">
        <v>645</v>
      </c>
      <c r="O283" t="s">
        <v>29</v>
      </c>
      <c r="P283" t="s">
        <v>111</v>
      </c>
    </row>
    <row r="284" spans="1:16" x14ac:dyDescent="0.25">
      <c r="A284" t="s">
        <v>1039</v>
      </c>
      <c r="B284" t="s">
        <v>17</v>
      </c>
      <c r="C284" t="s">
        <v>18</v>
      </c>
      <c r="D284" t="s">
        <v>1040</v>
      </c>
      <c r="E284" t="s">
        <v>144</v>
      </c>
      <c r="F284" t="s">
        <v>21</v>
      </c>
      <c r="G284" t="s">
        <v>92</v>
      </c>
      <c r="H284" t="s">
        <v>1041</v>
      </c>
      <c r="J284" t="s">
        <v>1042</v>
      </c>
      <c r="K284" t="s">
        <v>149</v>
      </c>
      <c r="L284" t="s">
        <v>1043</v>
      </c>
      <c r="M284" t="s">
        <v>27</v>
      </c>
      <c r="N284" t="s">
        <v>74</v>
      </c>
      <c r="O284" t="s">
        <v>29</v>
      </c>
      <c r="P284" t="s">
        <v>89</v>
      </c>
    </row>
    <row r="285" spans="1:16" x14ac:dyDescent="0.25">
      <c r="A285" t="s">
        <v>1039</v>
      </c>
      <c r="B285" t="s">
        <v>31</v>
      </c>
      <c r="C285" t="s">
        <v>18</v>
      </c>
      <c r="D285" t="s">
        <v>1044</v>
      </c>
      <c r="E285" t="s">
        <v>144</v>
      </c>
      <c r="F285" t="s">
        <v>21</v>
      </c>
      <c r="G285" t="s">
        <v>92</v>
      </c>
      <c r="J285" t="s">
        <v>1045</v>
      </c>
      <c r="K285" t="s">
        <v>149</v>
      </c>
      <c r="L285" t="s">
        <v>1046</v>
      </c>
      <c r="M285" t="s">
        <v>27</v>
      </c>
      <c r="N285" t="s">
        <v>74</v>
      </c>
      <c r="O285" t="s">
        <v>29</v>
      </c>
      <c r="P285" t="s">
        <v>89</v>
      </c>
    </row>
    <row r="286" spans="1:16" x14ac:dyDescent="0.25">
      <c r="A286" t="s">
        <v>1047</v>
      </c>
      <c r="B286" t="s">
        <v>17</v>
      </c>
      <c r="C286" t="s">
        <v>18</v>
      </c>
      <c r="D286" t="s">
        <v>1048</v>
      </c>
      <c r="E286" t="s">
        <v>144</v>
      </c>
      <c r="F286" t="s">
        <v>21</v>
      </c>
      <c r="G286" t="s">
        <v>85</v>
      </c>
      <c r="H286" t="s">
        <v>1049</v>
      </c>
      <c r="J286" t="s">
        <v>1050</v>
      </c>
      <c r="K286" t="s">
        <v>149</v>
      </c>
      <c r="L286" t="s">
        <v>95</v>
      </c>
      <c r="M286" t="s">
        <v>27</v>
      </c>
      <c r="N286" t="s">
        <v>74</v>
      </c>
      <c r="O286" t="s">
        <v>29</v>
      </c>
      <c r="P286" t="s">
        <v>89</v>
      </c>
    </row>
    <row r="287" spans="1:16" x14ac:dyDescent="0.25">
      <c r="A287" t="s">
        <v>1047</v>
      </c>
      <c r="B287" t="s">
        <v>31</v>
      </c>
      <c r="C287" t="s">
        <v>18</v>
      </c>
      <c r="D287" t="s">
        <v>1051</v>
      </c>
      <c r="E287" t="s">
        <v>144</v>
      </c>
      <c r="F287" t="s">
        <v>21</v>
      </c>
      <c r="G287" t="s">
        <v>85</v>
      </c>
      <c r="J287" t="s">
        <v>1052</v>
      </c>
      <c r="K287" t="s">
        <v>149</v>
      </c>
      <c r="L287" t="s">
        <v>95</v>
      </c>
      <c r="M287" t="s">
        <v>27</v>
      </c>
      <c r="N287" t="s">
        <v>74</v>
      </c>
      <c r="O287" t="s">
        <v>29</v>
      </c>
      <c r="P287" t="s">
        <v>89</v>
      </c>
    </row>
    <row r="288" spans="1:16" x14ac:dyDescent="0.25">
      <c r="A288" t="s">
        <v>1053</v>
      </c>
      <c r="B288" t="s">
        <v>17</v>
      </c>
      <c r="C288" t="s">
        <v>18</v>
      </c>
      <c r="D288" t="s">
        <v>1054</v>
      </c>
      <c r="E288" t="s">
        <v>144</v>
      </c>
      <c r="F288" t="s">
        <v>145</v>
      </c>
      <c r="G288" t="s">
        <v>1055</v>
      </c>
      <c r="H288" t="s">
        <v>1056</v>
      </c>
      <c r="J288" t="s">
        <v>1057</v>
      </c>
      <c r="K288" t="s">
        <v>149</v>
      </c>
      <c r="L288" t="s">
        <v>122</v>
      </c>
      <c r="M288" t="s">
        <v>27</v>
      </c>
      <c r="N288" t="s">
        <v>74</v>
      </c>
      <c r="O288" t="s">
        <v>29</v>
      </c>
      <c r="P288" t="s">
        <v>308</v>
      </c>
    </row>
    <row r="289" spans="1:16" x14ac:dyDescent="0.25">
      <c r="A289" t="s">
        <v>1053</v>
      </c>
      <c r="B289" t="s">
        <v>31</v>
      </c>
      <c r="C289" t="s">
        <v>18</v>
      </c>
      <c r="D289" t="s">
        <v>1058</v>
      </c>
      <c r="E289" t="s">
        <v>144</v>
      </c>
      <c r="F289" t="s">
        <v>145</v>
      </c>
      <c r="G289" t="s">
        <v>1055</v>
      </c>
      <c r="J289" t="s">
        <v>1023</v>
      </c>
      <c r="K289" t="s">
        <v>149</v>
      </c>
      <c r="L289" t="s">
        <v>122</v>
      </c>
      <c r="M289" t="s">
        <v>27</v>
      </c>
      <c r="N289" t="s">
        <v>74</v>
      </c>
      <c r="O289" t="s">
        <v>29</v>
      </c>
      <c r="P289" t="s">
        <v>308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P2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D02C-474A-47C7-9CD6-046820CEDF85}">
  <dimension ref="A1:Z289"/>
  <sheetViews>
    <sheetView tabSelected="1" workbookViewId="0">
      <pane ySplit="1" topLeftCell="A242" activePane="bottomLeft" state="frozen"/>
      <selection pane="bottomLeft" activeCell="V282" sqref="V282"/>
    </sheetView>
  </sheetViews>
  <sheetFormatPr defaultRowHeight="15" x14ac:dyDescent="0.25"/>
  <cols>
    <col min="1" max="1" width="34.5703125" bestFit="1" customWidth="1"/>
    <col min="4" max="4" width="34.5703125" bestFit="1" customWidth="1"/>
    <col min="5" max="5" width="35.7109375" bestFit="1" customWidth="1"/>
    <col min="6" max="6" width="18.28515625" bestFit="1" customWidth="1"/>
    <col min="7" max="7" width="33.42578125" bestFit="1" customWidth="1"/>
    <col min="8" max="8" width="37.5703125" customWidth="1"/>
    <col min="9" max="9" width="15.28515625" hidden="1" customWidth="1"/>
    <col min="10" max="10" width="34.42578125" hidden="1" customWidth="1"/>
    <col min="11" max="12" width="25.140625" hidden="1" customWidth="1"/>
    <col min="13" max="13" width="33.42578125" hidden="1" customWidth="1"/>
    <col min="14" max="15" width="0" hidden="1" customWidth="1"/>
    <col min="16" max="16" width="26" hidden="1" customWidth="1"/>
    <col min="17" max="17" width="27.7109375" hidden="1" customWidth="1"/>
    <col min="18" max="18" width="42.5703125" hidden="1" customWidth="1"/>
    <col min="19" max="19" width="28.7109375" hidden="1" customWidth="1"/>
    <col min="20" max="20" width="12.85546875" hidden="1" customWidth="1"/>
    <col min="21" max="21" width="9.140625" customWidth="1"/>
    <col min="22" max="22" width="15" customWidth="1"/>
    <col min="23" max="23" width="12.42578125" customWidth="1"/>
    <col min="24" max="24" width="7.28515625" bestFit="1" customWidth="1"/>
    <col min="25" max="25" width="11.85546875" bestFit="1" customWidth="1"/>
    <col min="26" max="26" width="8.1406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1063</v>
      </c>
      <c r="R1" s="4" t="s">
        <v>1064</v>
      </c>
      <c r="S1" s="4" t="s">
        <v>1065</v>
      </c>
      <c r="T1" s="5" t="s">
        <v>1066</v>
      </c>
      <c r="U1" s="2" t="s">
        <v>1067</v>
      </c>
      <c r="V1" s="2" t="s">
        <v>1068</v>
      </c>
      <c r="W1" s="4" t="s">
        <v>1082</v>
      </c>
      <c r="X1" s="10" t="s">
        <v>1185</v>
      </c>
      <c r="Y1" s="10" t="s">
        <v>1186</v>
      </c>
      <c r="Z1" s="10" t="s">
        <v>1187</v>
      </c>
    </row>
    <row r="2" spans="1:2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T2" s="5"/>
      <c r="U2" s="6"/>
      <c r="V2" s="2"/>
      <c r="X2" s="7" t="str">
        <f>_xlfn.XLOOKUP(H2, Sheet3!$E:$E, Sheet3!$B:$B, "")</f>
        <v/>
      </c>
      <c r="Y2" s="7" t="str">
        <f>_xlfn.XLOOKUP(H2, Sheet3!$E:$E, Sheet3!$C:$C, "")</f>
        <v/>
      </c>
      <c r="Z2" s="7" t="str">
        <f>_xlfn.XLOOKUP(H2, Sheet3!$E:$E, Sheet3!$D:$D, "")</f>
        <v/>
      </c>
    </row>
    <row r="3" spans="1:26" x14ac:dyDescent="0.25">
      <c r="A3" t="s">
        <v>16</v>
      </c>
      <c r="B3" t="s">
        <v>31</v>
      </c>
      <c r="C3" t="s">
        <v>18</v>
      </c>
      <c r="D3" t="s">
        <v>32</v>
      </c>
      <c r="E3" t="s">
        <v>20</v>
      </c>
      <c r="F3" t="s">
        <v>21</v>
      </c>
      <c r="G3" t="s">
        <v>22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T3" s="5"/>
      <c r="U3" s="6"/>
      <c r="V3" s="2"/>
      <c r="X3" s="7">
        <f>_xlfn.XLOOKUP(H3, Sheet3!$E:$E, Sheet3!$B:$B, "")</f>
        <v>0</v>
      </c>
      <c r="Y3" s="7">
        <f>_xlfn.XLOOKUP(H3, Sheet3!$E:$E, Sheet3!$C:$C, "")</f>
        <v>0</v>
      </c>
      <c r="Z3" s="7">
        <f>_xlfn.XLOOKUP(H3, Sheet3!$E:$E, Sheet3!$D:$D, "")</f>
        <v>0</v>
      </c>
    </row>
    <row r="4" spans="1:26" x14ac:dyDescent="0.25">
      <c r="A4" t="s">
        <v>33</v>
      </c>
      <c r="B4" t="s">
        <v>17</v>
      </c>
      <c r="C4" t="s">
        <v>18</v>
      </c>
      <c r="D4" t="s">
        <v>34</v>
      </c>
      <c r="E4" t="s">
        <v>20</v>
      </c>
      <c r="F4" t="s">
        <v>35</v>
      </c>
      <c r="G4" t="s">
        <v>36</v>
      </c>
      <c r="H4" t="s">
        <v>37</v>
      </c>
      <c r="J4" t="s">
        <v>38</v>
      </c>
      <c r="K4" t="s">
        <v>25</v>
      </c>
      <c r="L4" t="s">
        <v>39</v>
      </c>
      <c r="M4" t="s">
        <v>27</v>
      </c>
      <c r="N4" t="s">
        <v>28</v>
      </c>
      <c r="O4" t="s">
        <v>29</v>
      </c>
      <c r="P4" t="s">
        <v>40</v>
      </c>
      <c r="Q4" t="s">
        <v>1059</v>
      </c>
      <c r="R4" s="2" t="s">
        <v>1061</v>
      </c>
      <c r="S4" s="2" t="s">
        <v>1062</v>
      </c>
      <c r="T4" s="5">
        <v>4.1666666666666664E-2</v>
      </c>
      <c r="U4" s="6" t="s">
        <v>1069</v>
      </c>
      <c r="V4" s="2" t="s">
        <v>1070</v>
      </c>
      <c r="X4" s="7" t="str">
        <f>_xlfn.XLOOKUP(H4, Sheet3!$E:$E, Sheet3!$B:$B, "")</f>
        <v/>
      </c>
      <c r="Y4" s="7" t="str">
        <f>_xlfn.XLOOKUP(H4, Sheet3!$E:$E, Sheet3!$C:$C, "")</f>
        <v/>
      </c>
      <c r="Z4" s="7" t="str">
        <f>_xlfn.XLOOKUP(H4, Sheet3!$E:$E, Sheet3!$D:$D, "")</f>
        <v/>
      </c>
    </row>
    <row r="5" spans="1:26" x14ac:dyDescent="0.25">
      <c r="A5" t="s">
        <v>33</v>
      </c>
      <c r="B5" t="s">
        <v>31</v>
      </c>
      <c r="C5" t="s">
        <v>18</v>
      </c>
      <c r="D5" t="s">
        <v>41</v>
      </c>
      <c r="E5" t="s">
        <v>20</v>
      </c>
      <c r="F5" t="s">
        <v>35</v>
      </c>
      <c r="G5" t="s">
        <v>36</v>
      </c>
      <c r="J5" t="s">
        <v>38</v>
      </c>
      <c r="K5" t="s">
        <v>25</v>
      </c>
      <c r="L5" t="s">
        <v>42</v>
      </c>
      <c r="M5" t="s">
        <v>27</v>
      </c>
      <c r="N5" t="s">
        <v>28</v>
      </c>
      <c r="O5" t="s">
        <v>29</v>
      </c>
      <c r="P5" t="s">
        <v>40</v>
      </c>
      <c r="X5" s="7">
        <f>_xlfn.XLOOKUP(H5, Sheet3!$E:$E, Sheet3!$B:$B, "")</f>
        <v>0</v>
      </c>
      <c r="Y5" s="7">
        <f>_xlfn.XLOOKUP(H5, Sheet3!$E:$E, Sheet3!$C:$C, "")</f>
        <v>0</v>
      </c>
      <c r="Z5" s="7">
        <f>_xlfn.XLOOKUP(H5, Sheet3!$E:$E, Sheet3!$D:$D, "")</f>
        <v>0</v>
      </c>
    </row>
    <row r="6" spans="1:26" x14ac:dyDescent="0.25">
      <c r="A6" t="s">
        <v>43</v>
      </c>
      <c r="B6" t="s">
        <v>17</v>
      </c>
      <c r="C6" t="s">
        <v>18</v>
      </c>
      <c r="D6" t="s">
        <v>44</v>
      </c>
      <c r="E6" t="s">
        <v>20</v>
      </c>
      <c r="F6" t="s">
        <v>35</v>
      </c>
      <c r="G6" t="s">
        <v>45</v>
      </c>
      <c r="H6" t="s">
        <v>46</v>
      </c>
      <c r="J6" t="s">
        <v>47</v>
      </c>
      <c r="K6" t="s">
        <v>25</v>
      </c>
      <c r="L6" t="s">
        <v>39</v>
      </c>
      <c r="M6" t="s">
        <v>27</v>
      </c>
      <c r="N6" t="s">
        <v>28</v>
      </c>
      <c r="O6" t="s">
        <v>29</v>
      </c>
      <c r="P6" t="s">
        <v>40</v>
      </c>
      <c r="Q6" t="s">
        <v>1059</v>
      </c>
      <c r="R6" s="2" t="s">
        <v>1060</v>
      </c>
      <c r="S6" s="9" t="s">
        <v>1120</v>
      </c>
      <c r="T6" s="5">
        <v>4.1666666666666664E-2</v>
      </c>
      <c r="U6" s="6" t="s">
        <v>1069</v>
      </c>
      <c r="V6" s="2" t="s">
        <v>1070</v>
      </c>
      <c r="X6" s="7" t="str">
        <f>_xlfn.XLOOKUP(H6, Sheet3!$E:$E, Sheet3!$B:$B, "")</f>
        <v/>
      </c>
      <c r="Y6" s="7" t="str">
        <f>_xlfn.XLOOKUP(H6, Sheet3!$E:$E, Sheet3!$C:$C, "")</f>
        <v/>
      </c>
      <c r="Z6" s="7" t="str">
        <f>_xlfn.XLOOKUP(H6, Sheet3!$E:$E, Sheet3!$D:$D, "")</f>
        <v/>
      </c>
    </row>
    <row r="7" spans="1:26" x14ac:dyDescent="0.25">
      <c r="A7" t="s">
        <v>43</v>
      </c>
      <c r="B7" t="s">
        <v>31</v>
      </c>
      <c r="C7" t="s">
        <v>18</v>
      </c>
      <c r="D7" t="s">
        <v>48</v>
      </c>
      <c r="E7" t="s">
        <v>20</v>
      </c>
      <c r="F7" t="s">
        <v>35</v>
      </c>
      <c r="G7" t="s">
        <v>45</v>
      </c>
      <c r="J7" t="s">
        <v>47</v>
      </c>
      <c r="K7" t="s">
        <v>25</v>
      </c>
      <c r="L7" t="s">
        <v>49</v>
      </c>
      <c r="M7" t="s">
        <v>27</v>
      </c>
      <c r="N7" t="s">
        <v>28</v>
      </c>
      <c r="O7" t="s">
        <v>29</v>
      </c>
      <c r="P7" t="s">
        <v>40</v>
      </c>
      <c r="X7" s="7">
        <f>_xlfn.XLOOKUP(H7, Sheet3!$E:$E, Sheet3!$B:$B, "")</f>
        <v>0</v>
      </c>
      <c r="Y7" s="7">
        <f>_xlfn.XLOOKUP(H7, Sheet3!$E:$E, Sheet3!$C:$C, "")</f>
        <v>0</v>
      </c>
      <c r="Z7" s="7">
        <f>_xlfn.XLOOKUP(H7, Sheet3!$E:$E, Sheet3!$D:$D, "")</f>
        <v>0</v>
      </c>
    </row>
    <row r="8" spans="1:26" x14ac:dyDescent="0.25">
      <c r="A8" t="s">
        <v>50</v>
      </c>
      <c r="B8" t="s">
        <v>51</v>
      </c>
      <c r="C8" t="s">
        <v>18</v>
      </c>
      <c r="D8" t="s">
        <v>52</v>
      </c>
      <c r="E8" t="s">
        <v>20</v>
      </c>
      <c r="F8" t="s">
        <v>53</v>
      </c>
      <c r="G8" t="s">
        <v>54</v>
      </c>
      <c r="H8" t="s">
        <v>55</v>
      </c>
      <c r="J8" t="s">
        <v>56</v>
      </c>
      <c r="K8" t="s">
        <v>25</v>
      </c>
      <c r="L8" t="s">
        <v>49</v>
      </c>
      <c r="M8" t="s">
        <v>27</v>
      </c>
      <c r="N8" t="s">
        <v>28</v>
      </c>
      <c r="O8" t="s">
        <v>29</v>
      </c>
      <c r="P8" t="s">
        <v>57</v>
      </c>
      <c r="Q8" s="7" t="s">
        <v>1118</v>
      </c>
      <c r="R8" t="s">
        <v>1119</v>
      </c>
      <c r="S8" s="7" t="s">
        <v>1121</v>
      </c>
      <c r="T8" s="5">
        <v>8.3333333333333329E-2</v>
      </c>
      <c r="U8" s="6" t="s">
        <v>1069</v>
      </c>
      <c r="V8" s="7" t="s">
        <v>1122</v>
      </c>
      <c r="X8" s="7" t="str">
        <f>_xlfn.XLOOKUP(H8, Sheet3!$E:$E, Sheet3!$B:$B, "")</f>
        <v/>
      </c>
      <c r="Y8" s="7" t="str">
        <f>_xlfn.XLOOKUP(H8, Sheet3!$E:$E, Sheet3!$C:$C, "")</f>
        <v/>
      </c>
      <c r="Z8" s="7" t="str">
        <f>_xlfn.XLOOKUP(H8, Sheet3!$E:$E, Sheet3!$D:$D, "")</f>
        <v/>
      </c>
    </row>
    <row r="9" spans="1:26" x14ac:dyDescent="0.25">
      <c r="A9" t="s">
        <v>58</v>
      </c>
      <c r="B9" t="s">
        <v>51</v>
      </c>
      <c r="C9" t="s">
        <v>18</v>
      </c>
      <c r="D9" t="s">
        <v>59</v>
      </c>
      <c r="E9" t="s">
        <v>20</v>
      </c>
      <c r="F9" t="s">
        <v>53</v>
      </c>
      <c r="G9" t="s">
        <v>60</v>
      </c>
      <c r="H9" t="s">
        <v>61</v>
      </c>
      <c r="J9" t="s">
        <v>62</v>
      </c>
      <c r="K9" t="s">
        <v>25</v>
      </c>
      <c r="L9" t="s">
        <v>42</v>
      </c>
      <c r="M9" t="s">
        <v>27</v>
      </c>
      <c r="N9" t="s">
        <v>28</v>
      </c>
      <c r="O9" t="s">
        <v>29</v>
      </c>
      <c r="P9" t="s">
        <v>57</v>
      </c>
      <c r="Q9" s="7" t="s">
        <v>1124</v>
      </c>
      <c r="R9" t="s">
        <v>1119</v>
      </c>
      <c r="S9" s="7" t="s">
        <v>1123</v>
      </c>
      <c r="T9" s="5">
        <v>8.3333333333333329E-2</v>
      </c>
      <c r="U9" s="6" t="s">
        <v>1069</v>
      </c>
      <c r="V9" s="7" t="s">
        <v>1122</v>
      </c>
      <c r="X9" s="7" t="str">
        <f>_xlfn.XLOOKUP(H9, Sheet3!$E:$E, Sheet3!$B:$B, "")</f>
        <v/>
      </c>
      <c r="Y9" s="7" t="str">
        <f>_xlfn.XLOOKUP(H9, Sheet3!$E:$E, Sheet3!$C:$C, "")</f>
        <v/>
      </c>
      <c r="Z9" s="7" t="str">
        <f>_xlfn.XLOOKUP(H9, Sheet3!$E:$E, Sheet3!$D:$D, "")</f>
        <v/>
      </c>
    </row>
    <row r="10" spans="1:26" x14ac:dyDescent="0.25">
      <c r="A10" t="s">
        <v>63</v>
      </c>
      <c r="B10" t="s">
        <v>51</v>
      </c>
      <c r="C10" t="s">
        <v>18</v>
      </c>
      <c r="D10" t="s">
        <v>64</v>
      </c>
      <c r="E10" t="s">
        <v>20</v>
      </c>
      <c r="F10" t="s">
        <v>21</v>
      </c>
      <c r="G10" t="s">
        <v>65</v>
      </c>
      <c r="H10" t="s">
        <v>66</v>
      </c>
      <c r="J10" t="s">
        <v>67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57</v>
      </c>
      <c r="Q10" s="7" t="s">
        <v>1079</v>
      </c>
      <c r="R10" t="s">
        <v>1080</v>
      </c>
      <c r="S10" s="7" t="s">
        <v>1081</v>
      </c>
      <c r="T10" s="5">
        <v>6.25E-2</v>
      </c>
      <c r="U10" s="6" t="s">
        <v>1069</v>
      </c>
      <c r="V10" t="s">
        <v>1078</v>
      </c>
      <c r="W10" s="7"/>
      <c r="X10" s="7" t="str">
        <f>_xlfn.XLOOKUP(H10, Sheet3!$E:$E, Sheet3!$B:$B, "")</f>
        <v/>
      </c>
      <c r="Y10" s="7" t="str">
        <f>_xlfn.XLOOKUP(H10, Sheet3!$E:$E, Sheet3!$C:$C, "")</f>
        <v/>
      </c>
      <c r="Z10" s="7" t="str">
        <f>_xlfn.XLOOKUP(H10, Sheet3!$E:$E, Sheet3!$D:$D, "")</f>
        <v/>
      </c>
    </row>
    <row r="11" spans="1:26" x14ac:dyDescent="0.25">
      <c r="A11" t="s">
        <v>69</v>
      </c>
      <c r="B11" t="s">
        <v>51</v>
      </c>
      <c r="C11" t="s">
        <v>18</v>
      </c>
      <c r="D11" t="s">
        <v>70</v>
      </c>
      <c r="E11" t="s">
        <v>20</v>
      </c>
      <c r="F11" t="s">
        <v>35</v>
      </c>
      <c r="G11" t="s">
        <v>71</v>
      </c>
      <c r="H11" t="s">
        <v>72</v>
      </c>
      <c r="J11" t="s">
        <v>73</v>
      </c>
      <c r="K11" t="s">
        <v>25</v>
      </c>
      <c r="L11" t="s">
        <v>42</v>
      </c>
      <c r="M11" t="s">
        <v>27</v>
      </c>
      <c r="N11" t="s">
        <v>74</v>
      </c>
      <c r="O11" t="s">
        <v>29</v>
      </c>
      <c r="P11" t="s">
        <v>75</v>
      </c>
      <c r="X11" s="7" t="str">
        <f>_xlfn.XLOOKUP(H11, Sheet3!$E:$E, Sheet3!$B:$B, "")</f>
        <v/>
      </c>
      <c r="Y11" s="7" t="str">
        <f>_xlfn.XLOOKUP(H11, Sheet3!$E:$E, Sheet3!$C:$C, "")</f>
        <v/>
      </c>
      <c r="Z11" s="7" t="str">
        <f>_xlfn.XLOOKUP(H11, Sheet3!$E:$E, Sheet3!$D:$D, "")</f>
        <v/>
      </c>
    </row>
    <row r="12" spans="1:26" x14ac:dyDescent="0.25">
      <c r="A12" t="s">
        <v>76</v>
      </c>
      <c r="B12" t="s">
        <v>51</v>
      </c>
      <c r="C12" t="s">
        <v>18</v>
      </c>
      <c r="D12" t="s">
        <v>77</v>
      </c>
      <c r="E12" t="s">
        <v>20</v>
      </c>
      <c r="F12" t="s">
        <v>35</v>
      </c>
      <c r="G12" t="s">
        <v>78</v>
      </c>
      <c r="H12" t="s">
        <v>79</v>
      </c>
      <c r="J12" t="s">
        <v>80</v>
      </c>
      <c r="K12" t="s">
        <v>25</v>
      </c>
      <c r="L12" t="s">
        <v>81</v>
      </c>
      <c r="M12" t="s">
        <v>27</v>
      </c>
      <c r="N12" t="s">
        <v>74</v>
      </c>
      <c r="O12" t="s">
        <v>29</v>
      </c>
      <c r="P12" t="s">
        <v>82</v>
      </c>
      <c r="X12" s="7" t="str">
        <f>_xlfn.XLOOKUP(H12, Sheet3!$E:$E, Sheet3!$B:$B, "")</f>
        <v/>
      </c>
      <c r="Y12" s="7" t="str">
        <f>_xlfn.XLOOKUP(H12, Sheet3!$E:$E, Sheet3!$C:$C, "")</f>
        <v/>
      </c>
      <c r="Z12" s="7" t="str">
        <f>_xlfn.XLOOKUP(H12, Sheet3!$E:$E, Sheet3!$D:$D, "")</f>
        <v/>
      </c>
    </row>
    <row r="13" spans="1:26" x14ac:dyDescent="0.25">
      <c r="A13" t="s">
        <v>83</v>
      </c>
      <c r="B13" t="s">
        <v>51</v>
      </c>
      <c r="C13" t="s">
        <v>18</v>
      </c>
      <c r="D13" t="s">
        <v>84</v>
      </c>
      <c r="E13" t="s">
        <v>20</v>
      </c>
      <c r="F13" t="s">
        <v>21</v>
      </c>
      <c r="G13" t="s">
        <v>85</v>
      </c>
      <c r="H13" t="s">
        <v>86</v>
      </c>
      <c r="J13" t="s">
        <v>87</v>
      </c>
      <c r="K13" t="s">
        <v>25</v>
      </c>
      <c r="L13" t="s">
        <v>88</v>
      </c>
      <c r="M13" t="s">
        <v>27</v>
      </c>
      <c r="N13" t="s">
        <v>74</v>
      </c>
      <c r="O13" t="s">
        <v>29</v>
      </c>
      <c r="P13" t="s">
        <v>89</v>
      </c>
      <c r="X13" s="7" t="str">
        <f>_xlfn.XLOOKUP(H13, Sheet3!$E:$E, Sheet3!$B:$B, "")</f>
        <v/>
      </c>
      <c r="Y13" s="7" t="str">
        <f>_xlfn.XLOOKUP(H13, Sheet3!$E:$E, Sheet3!$C:$C, "")</f>
        <v/>
      </c>
      <c r="Z13" s="7" t="str">
        <f>_xlfn.XLOOKUP(H13, Sheet3!$E:$E, Sheet3!$D:$D, "")</f>
        <v/>
      </c>
    </row>
    <row r="14" spans="1:26" x14ac:dyDescent="0.25">
      <c r="A14" t="s">
        <v>90</v>
      </c>
      <c r="B14" t="s">
        <v>51</v>
      </c>
      <c r="C14" t="s">
        <v>18</v>
      </c>
      <c r="D14" t="s">
        <v>91</v>
      </c>
      <c r="E14" t="s">
        <v>20</v>
      </c>
      <c r="F14" t="s">
        <v>21</v>
      </c>
      <c r="G14" t="s">
        <v>92</v>
      </c>
      <c r="H14" t="s">
        <v>93</v>
      </c>
      <c r="J14" t="s">
        <v>94</v>
      </c>
      <c r="K14" t="s">
        <v>25</v>
      </c>
      <c r="L14" t="s">
        <v>95</v>
      </c>
      <c r="M14" t="s">
        <v>27</v>
      </c>
      <c r="N14" t="s">
        <v>74</v>
      </c>
      <c r="O14" t="s">
        <v>29</v>
      </c>
      <c r="P14" t="s">
        <v>89</v>
      </c>
      <c r="X14" s="7" t="str">
        <f>_xlfn.XLOOKUP(H14, Sheet3!$E:$E, Sheet3!$B:$B, "")</f>
        <v/>
      </c>
      <c r="Y14" s="7" t="str">
        <f>_xlfn.XLOOKUP(H14, Sheet3!$E:$E, Sheet3!$C:$C, "")</f>
        <v/>
      </c>
      <c r="Z14" s="7" t="str">
        <f>_xlfn.XLOOKUP(H14, Sheet3!$E:$E, Sheet3!$D:$D, "")</f>
        <v/>
      </c>
    </row>
    <row r="15" spans="1:26" x14ac:dyDescent="0.25">
      <c r="A15" t="s">
        <v>96</v>
      </c>
      <c r="B15" t="s">
        <v>17</v>
      </c>
      <c r="C15" t="s">
        <v>18</v>
      </c>
      <c r="D15" t="s">
        <v>97</v>
      </c>
      <c r="E15" t="s">
        <v>98</v>
      </c>
      <c r="F15" t="s">
        <v>35</v>
      </c>
      <c r="G15" t="s">
        <v>99</v>
      </c>
      <c r="H15" t="s">
        <v>100</v>
      </c>
      <c r="J15" t="s">
        <v>101</v>
      </c>
      <c r="K15" t="s">
        <v>25</v>
      </c>
      <c r="L15" t="s">
        <v>102</v>
      </c>
      <c r="M15" t="s">
        <v>27</v>
      </c>
      <c r="N15" t="s">
        <v>74</v>
      </c>
      <c r="O15" t="s">
        <v>29</v>
      </c>
      <c r="P15" t="s">
        <v>40</v>
      </c>
      <c r="X15" s="7" t="str">
        <f>_xlfn.XLOOKUP(H15, Sheet3!$E:$E, Sheet3!$B:$B, "")</f>
        <v/>
      </c>
      <c r="Y15" s="7" t="str">
        <f>_xlfn.XLOOKUP(H15, Sheet3!$E:$E, Sheet3!$C:$C, "")</f>
        <v/>
      </c>
      <c r="Z15" s="7" t="str">
        <f>_xlfn.XLOOKUP(H15, Sheet3!$E:$E, Sheet3!$D:$D, "")</f>
        <v/>
      </c>
    </row>
    <row r="16" spans="1:26" x14ac:dyDescent="0.25">
      <c r="A16" t="s">
        <v>96</v>
      </c>
      <c r="B16" t="s">
        <v>31</v>
      </c>
      <c r="C16" t="s">
        <v>18</v>
      </c>
      <c r="D16" t="s">
        <v>103</v>
      </c>
      <c r="E16" t="s">
        <v>98</v>
      </c>
      <c r="F16" t="s">
        <v>35</v>
      </c>
      <c r="G16" t="s">
        <v>99</v>
      </c>
      <c r="J16" t="s">
        <v>104</v>
      </c>
      <c r="K16" t="s">
        <v>25</v>
      </c>
      <c r="L16" t="s">
        <v>102</v>
      </c>
      <c r="M16" t="s">
        <v>27</v>
      </c>
      <c r="N16" t="s">
        <v>74</v>
      </c>
      <c r="O16" t="s">
        <v>29</v>
      </c>
      <c r="P16" t="s">
        <v>40</v>
      </c>
      <c r="X16" s="7">
        <f>_xlfn.XLOOKUP(H16, Sheet3!$E:$E, Sheet3!$B:$B, "")</f>
        <v>0</v>
      </c>
      <c r="Y16" s="7">
        <f>_xlfn.XLOOKUP(H16, Sheet3!$E:$E, Sheet3!$C:$C, "")</f>
        <v>0</v>
      </c>
      <c r="Z16" s="7">
        <f>_xlfn.XLOOKUP(H16, Sheet3!$E:$E, Sheet3!$D:$D, "")</f>
        <v>0</v>
      </c>
    </row>
    <row r="17" spans="1:26" x14ac:dyDescent="0.25">
      <c r="A17" t="s">
        <v>105</v>
      </c>
      <c r="B17" t="s">
        <v>17</v>
      </c>
      <c r="C17" t="s">
        <v>18</v>
      </c>
      <c r="D17" t="s">
        <v>106</v>
      </c>
      <c r="E17" t="s">
        <v>20</v>
      </c>
      <c r="F17" t="s">
        <v>107</v>
      </c>
      <c r="G17" t="s">
        <v>108</v>
      </c>
      <c r="H17" t="s">
        <v>109</v>
      </c>
      <c r="J17" t="s">
        <v>110</v>
      </c>
      <c r="K17" t="s">
        <v>25</v>
      </c>
      <c r="L17" t="s">
        <v>26</v>
      </c>
      <c r="M17" t="s">
        <v>27</v>
      </c>
      <c r="N17" t="s">
        <v>74</v>
      </c>
      <c r="O17" t="s">
        <v>29</v>
      </c>
      <c r="P17" t="s">
        <v>111</v>
      </c>
      <c r="X17" s="7" t="str">
        <f>_xlfn.XLOOKUP(H17, Sheet3!$E:$E, Sheet3!$B:$B, "")</f>
        <v/>
      </c>
      <c r="Y17" s="7" t="str">
        <f>_xlfn.XLOOKUP(H17, Sheet3!$E:$E, Sheet3!$C:$C, "")</f>
        <v/>
      </c>
      <c r="Z17" s="7" t="str">
        <f>_xlfn.XLOOKUP(H17, Sheet3!$E:$E, Sheet3!$D:$D, "")</f>
        <v/>
      </c>
    </row>
    <row r="18" spans="1:26" x14ac:dyDescent="0.25">
      <c r="A18" t="s">
        <v>105</v>
      </c>
      <c r="B18" t="s">
        <v>31</v>
      </c>
      <c r="C18" t="s">
        <v>18</v>
      </c>
      <c r="D18" t="s">
        <v>112</v>
      </c>
      <c r="E18" t="s">
        <v>20</v>
      </c>
      <c r="F18" t="s">
        <v>107</v>
      </c>
      <c r="G18" t="s">
        <v>108</v>
      </c>
      <c r="J18" t="s">
        <v>110</v>
      </c>
      <c r="K18" t="s">
        <v>25</v>
      </c>
      <c r="L18" t="s">
        <v>26</v>
      </c>
      <c r="M18" t="s">
        <v>27</v>
      </c>
      <c r="N18" t="s">
        <v>74</v>
      </c>
      <c r="O18" t="s">
        <v>29</v>
      </c>
      <c r="P18" t="s">
        <v>111</v>
      </c>
      <c r="X18" s="7">
        <f>_xlfn.XLOOKUP(H18, Sheet3!$E:$E, Sheet3!$B:$B, "")</f>
        <v>0</v>
      </c>
      <c r="Y18" s="7">
        <f>_xlfn.XLOOKUP(H18, Sheet3!$E:$E, Sheet3!$C:$C, "")</f>
        <v>0</v>
      </c>
      <c r="Z18" s="7">
        <f>_xlfn.XLOOKUP(H18, Sheet3!$E:$E, Sheet3!$D:$D, "")</f>
        <v>0</v>
      </c>
    </row>
    <row r="19" spans="1:26" x14ac:dyDescent="0.25">
      <c r="A19" t="s">
        <v>105</v>
      </c>
      <c r="B19" t="s">
        <v>113</v>
      </c>
      <c r="C19" t="s">
        <v>18</v>
      </c>
      <c r="D19" t="s">
        <v>114</v>
      </c>
      <c r="E19" t="s">
        <v>20</v>
      </c>
      <c r="F19" t="s">
        <v>107</v>
      </c>
      <c r="G19" t="s">
        <v>108</v>
      </c>
      <c r="H19" t="s">
        <v>115</v>
      </c>
      <c r="J19" t="s">
        <v>116</v>
      </c>
      <c r="K19" t="s">
        <v>25</v>
      </c>
      <c r="L19" t="s">
        <v>26</v>
      </c>
      <c r="M19" t="s">
        <v>27</v>
      </c>
      <c r="N19" t="s">
        <v>74</v>
      </c>
      <c r="O19" t="s">
        <v>29</v>
      </c>
      <c r="P19" t="s">
        <v>111</v>
      </c>
      <c r="X19" s="7" t="str">
        <f>_xlfn.XLOOKUP(H19, Sheet3!$E:$E, Sheet3!$B:$B, "")</f>
        <v/>
      </c>
      <c r="Y19" s="7" t="str">
        <f>_xlfn.XLOOKUP(H19, Sheet3!$E:$E, Sheet3!$C:$C, "")</f>
        <v/>
      </c>
      <c r="Z19" s="7" t="str">
        <f>_xlfn.XLOOKUP(H19, Sheet3!$E:$E, Sheet3!$D:$D, "")</f>
        <v/>
      </c>
    </row>
    <row r="20" spans="1:26" x14ac:dyDescent="0.25">
      <c r="A20" t="s">
        <v>117</v>
      </c>
      <c r="B20" t="s">
        <v>51</v>
      </c>
      <c r="C20" t="s">
        <v>18</v>
      </c>
      <c r="D20" t="s">
        <v>118</v>
      </c>
      <c r="E20" t="s">
        <v>20</v>
      </c>
      <c r="F20" t="s">
        <v>35</v>
      </c>
      <c r="G20" t="s">
        <v>119</v>
      </c>
      <c r="H20" t="s">
        <v>120</v>
      </c>
      <c r="J20" t="s">
        <v>121</v>
      </c>
      <c r="K20" t="s">
        <v>25</v>
      </c>
      <c r="L20" t="s">
        <v>122</v>
      </c>
      <c r="M20" t="s">
        <v>27</v>
      </c>
      <c r="N20" t="s">
        <v>74</v>
      </c>
      <c r="O20" t="s">
        <v>29</v>
      </c>
      <c r="P20" t="s">
        <v>89</v>
      </c>
      <c r="X20" s="7" t="str">
        <f>_xlfn.XLOOKUP(H20, Sheet3!$E:$E, Sheet3!$B:$B, "")</f>
        <v/>
      </c>
      <c r="Y20" s="7" t="str">
        <f>_xlfn.XLOOKUP(H20, Sheet3!$E:$E, Sheet3!$C:$C, "")</f>
        <v/>
      </c>
      <c r="Z20" s="7" t="str">
        <f>_xlfn.XLOOKUP(H20, Sheet3!$E:$E, Sheet3!$D:$D, "")</f>
        <v/>
      </c>
    </row>
    <row r="21" spans="1:26" x14ac:dyDescent="0.25">
      <c r="A21" t="s">
        <v>123</v>
      </c>
      <c r="B21" t="s">
        <v>51</v>
      </c>
      <c r="C21" t="s">
        <v>18</v>
      </c>
      <c r="D21" t="s">
        <v>124</v>
      </c>
      <c r="E21" t="s">
        <v>20</v>
      </c>
      <c r="F21" t="s">
        <v>35</v>
      </c>
      <c r="G21" t="s">
        <v>119</v>
      </c>
      <c r="H21" t="s">
        <v>125</v>
      </c>
      <c r="J21" t="s">
        <v>126</v>
      </c>
      <c r="K21" t="s">
        <v>25</v>
      </c>
      <c r="L21" t="s">
        <v>122</v>
      </c>
      <c r="M21" t="s">
        <v>27</v>
      </c>
      <c r="N21" t="s">
        <v>74</v>
      </c>
      <c r="O21" t="s">
        <v>29</v>
      </c>
      <c r="P21" t="s">
        <v>89</v>
      </c>
      <c r="X21" s="7" t="str">
        <f>_xlfn.XLOOKUP(H21, Sheet3!$E:$E, Sheet3!$B:$B, "")</f>
        <v/>
      </c>
      <c r="Y21" s="7" t="str">
        <f>_xlfn.XLOOKUP(H21, Sheet3!$E:$E, Sheet3!$C:$C, "")</f>
        <v/>
      </c>
      <c r="Z21" s="7" t="str">
        <f>_xlfn.XLOOKUP(H21, Sheet3!$E:$E, Sheet3!$D:$D, "")</f>
        <v/>
      </c>
    </row>
    <row r="22" spans="1:26" x14ac:dyDescent="0.25">
      <c r="A22" t="s">
        <v>127</v>
      </c>
      <c r="B22" t="s">
        <v>51</v>
      </c>
      <c r="C22" t="s">
        <v>18</v>
      </c>
      <c r="D22" t="s">
        <v>128</v>
      </c>
      <c r="E22" t="s">
        <v>20</v>
      </c>
      <c r="F22" t="s">
        <v>35</v>
      </c>
      <c r="G22" t="s">
        <v>119</v>
      </c>
      <c r="H22" t="s">
        <v>129</v>
      </c>
      <c r="J22" t="s">
        <v>130</v>
      </c>
      <c r="K22" t="s">
        <v>25</v>
      </c>
      <c r="L22" t="s">
        <v>122</v>
      </c>
      <c r="M22" t="s">
        <v>27</v>
      </c>
      <c r="N22" t="s">
        <v>74</v>
      </c>
      <c r="O22" t="s">
        <v>29</v>
      </c>
      <c r="P22" t="s">
        <v>89</v>
      </c>
      <c r="X22" s="7" t="str">
        <f>_xlfn.XLOOKUP(H22, Sheet3!$E:$E, Sheet3!$B:$B, "")</f>
        <v/>
      </c>
      <c r="Y22" s="7" t="str">
        <f>_xlfn.XLOOKUP(H22, Sheet3!$E:$E, Sheet3!$C:$C, "")</f>
        <v/>
      </c>
      <c r="Z22" s="7" t="str">
        <f>_xlfn.XLOOKUP(H22, Sheet3!$E:$E, Sheet3!$D:$D, "")</f>
        <v/>
      </c>
    </row>
    <row r="23" spans="1:26" x14ac:dyDescent="0.25">
      <c r="A23" t="s">
        <v>131</v>
      </c>
      <c r="B23" t="s">
        <v>51</v>
      </c>
      <c r="C23" t="s">
        <v>18</v>
      </c>
      <c r="D23" t="s">
        <v>132</v>
      </c>
      <c r="E23" t="s">
        <v>20</v>
      </c>
      <c r="F23" t="s">
        <v>21</v>
      </c>
      <c r="G23" t="s">
        <v>133</v>
      </c>
      <c r="H23" t="s">
        <v>134</v>
      </c>
      <c r="J23" t="s">
        <v>135</v>
      </c>
      <c r="K23" t="s">
        <v>25</v>
      </c>
      <c r="L23" t="s">
        <v>122</v>
      </c>
      <c r="M23" t="s">
        <v>27</v>
      </c>
      <c r="N23" t="s">
        <v>74</v>
      </c>
      <c r="O23" t="s">
        <v>29</v>
      </c>
      <c r="P23" t="s">
        <v>89</v>
      </c>
      <c r="X23" s="7" t="str">
        <f>_xlfn.XLOOKUP(H23, Sheet3!$E:$E, Sheet3!$B:$B, "")</f>
        <v/>
      </c>
      <c r="Y23" s="7" t="str">
        <f>_xlfn.XLOOKUP(H23, Sheet3!$E:$E, Sheet3!$C:$C, "")</f>
        <v/>
      </c>
      <c r="Z23" s="7" t="str">
        <f>_xlfn.XLOOKUP(H23, Sheet3!$E:$E, Sheet3!$D:$D, "")</f>
        <v/>
      </c>
    </row>
    <row r="24" spans="1:26" x14ac:dyDescent="0.25">
      <c r="A24" t="s">
        <v>136</v>
      </c>
      <c r="B24" t="s">
        <v>51</v>
      </c>
      <c r="C24" t="s">
        <v>18</v>
      </c>
      <c r="D24" t="s">
        <v>137</v>
      </c>
      <c r="E24" t="s">
        <v>20</v>
      </c>
      <c r="F24" t="s">
        <v>53</v>
      </c>
      <c r="G24" t="s">
        <v>138</v>
      </c>
      <c r="H24" t="s">
        <v>139</v>
      </c>
      <c r="J24" t="s">
        <v>140</v>
      </c>
      <c r="K24" t="s">
        <v>25</v>
      </c>
      <c r="L24" t="s">
        <v>141</v>
      </c>
      <c r="M24" t="s">
        <v>27</v>
      </c>
      <c r="N24" t="s">
        <v>74</v>
      </c>
      <c r="O24" t="s">
        <v>29</v>
      </c>
      <c r="P24" t="s">
        <v>89</v>
      </c>
      <c r="X24" s="7" t="str">
        <f>_xlfn.XLOOKUP(H24, Sheet3!$E:$E, Sheet3!$B:$B, "")</f>
        <v/>
      </c>
      <c r="Y24" s="7" t="str">
        <f>_xlfn.XLOOKUP(H24, Sheet3!$E:$E, Sheet3!$C:$C, "")</f>
        <v/>
      </c>
      <c r="Z24" s="7" t="str">
        <f>_xlfn.XLOOKUP(H24, Sheet3!$E:$E, Sheet3!$D:$D, "")</f>
        <v/>
      </c>
    </row>
    <row r="25" spans="1:26" x14ac:dyDescent="0.25">
      <c r="A25" t="s">
        <v>142</v>
      </c>
      <c r="B25" t="s">
        <v>17</v>
      </c>
      <c r="C25" t="s">
        <v>18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J25" t="s">
        <v>148</v>
      </c>
      <c r="K25" t="s">
        <v>149</v>
      </c>
      <c r="L25" t="s">
        <v>122</v>
      </c>
      <c r="M25" t="s">
        <v>27</v>
      </c>
      <c r="N25" t="s">
        <v>74</v>
      </c>
      <c r="O25" t="s">
        <v>29</v>
      </c>
      <c r="P25" t="s">
        <v>150</v>
      </c>
      <c r="X25" s="7" t="str">
        <f>_xlfn.XLOOKUP(H25, Sheet3!$E:$E, Sheet3!$B:$B, "")</f>
        <v/>
      </c>
      <c r="Y25" s="7" t="str">
        <f>_xlfn.XLOOKUP(H25, Sheet3!$E:$E, Sheet3!$C:$C, "")</f>
        <v/>
      </c>
      <c r="Z25" s="7" t="str">
        <f>_xlfn.XLOOKUP(H25, Sheet3!$E:$E, Sheet3!$D:$D, "")</f>
        <v/>
      </c>
    </row>
    <row r="26" spans="1:26" x14ac:dyDescent="0.25">
      <c r="A26" t="s">
        <v>142</v>
      </c>
      <c r="B26" t="s">
        <v>31</v>
      </c>
      <c r="C26" t="s">
        <v>18</v>
      </c>
      <c r="D26" t="s">
        <v>151</v>
      </c>
      <c r="E26" t="s">
        <v>144</v>
      </c>
      <c r="F26" t="s">
        <v>145</v>
      </c>
      <c r="G26" t="s">
        <v>146</v>
      </c>
      <c r="J26" t="s">
        <v>152</v>
      </c>
      <c r="K26" t="s">
        <v>149</v>
      </c>
      <c r="L26" t="s">
        <v>122</v>
      </c>
      <c r="M26" t="s">
        <v>27</v>
      </c>
      <c r="N26" t="s">
        <v>74</v>
      </c>
      <c r="O26" t="s">
        <v>29</v>
      </c>
      <c r="P26" t="s">
        <v>150</v>
      </c>
      <c r="X26" s="7">
        <f>_xlfn.XLOOKUP(H26, Sheet3!$E:$E, Sheet3!$B:$B, "")</f>
        <v>0</v>
      </c>
      <c r="Y26" s="7">
        <f>_xlfn.XLOOKUP(H26, Sheet3!$E:$E, Sheet3!$C:$C, "")</f>
        <v>0</v>
      </c>
      <c r="Z26" s="7">
        <f>_xlfn.XLOOKUP(H26, Sheet3!$E:$E, Sheet3!$D:$D, "")</f>
        <v>0</v>
      </c>
    </row>
    <row r="27" spans="1:26" x14ac:dyDescent="0.25">
      <c r="A27" t="s">
        <v>153</v>
      </c>
      <c r="B27" t="s">
        <v>17</v>
      </c>
      <c r="C27" t="s">
        <v>18</v>
      </c>
      <c r="D27" t="s">
        <v>154</v>
      </c>
      <c r="E27" t="s">
        <v>20</v>
      </c>
      <c r="F27" t="s">
        <v>53</v>
      </c>
      <c r="G27" t="s">
        <v>155</v>
      </c>
      <c r="H27" t="s">
        <v>156</v>
      </c>
      <c r="J27" t="s">
        <v>157</v>
      </c>
      <c r="K27" t="s">
        <v>25</v>
      </c>
      <c r="L27" t="s">
        <v>122</v>
      </c>
      <c r="M27" t="s">
        <v>27</v>
      </c>
      <c r="N27" t="s">
        <v>74</v>
      </c>
      <c r="O27" t="s">
        <v>29</v>
      </c>
      <c r="P27" t="s">
        <v>89</v>
      </c>
      <c r="X27" s="7" t="str">
        <f>_xlfn.XLOOKUP(H27, Sheet3!$E:$E, Sheet3!$B:$B, "")</f>
        <v/>
      </c>
      <c r="Y27" s="7" t="str">
        <f>_xlfn.XLOOKUP(H27, Sheet3!$E:$E, Sheet3!$C:$C, "")</f>
        <v/>
      </c>
      <c r="Z27" s="7" t="str">
        <f>_xlfn.XLOOKUP(H27, Sheet3!$E:$E, Sheet3!$D:$D, "")</f>
        <v/>
      </c>
    </row>
    <row r="28" spans="1:26" x14ac:dyDescent="0.25">
      <c r="A28" t="s">
        <v>153</v>
      </c>
      <c r="B28" t="s">
        <v>31</v>
      </c>
      <c r="C28" t="s">
        <v>18</v>
      </c>
      <c r="D28" t="s">
        <v>158</v>
      </c>
      <c r="E28" t="s">
        <v>20</v>
      </c>
      <c r="F28" t="s">
        <v>53</v>
      </c>
      <c r="G28" t="s">
        <v>155</v>
      </c>
      <c r="J28" t="s">
        <v>157</v>
      </c>
      <c r="K28" t="s">
        <v>25</v>
      </c>
      <c r="L28" t="s">
        <v>122</v>
      </c>
      <c r="M28" t="s">
        <v>27</v>
      </c>
      <c r="N28" t="s">
        <v>74</v>
      </c>
      <c r="O28" t="s">
        <v>29</v>
      </c>
      <c r="P28" t="s">
        <v>89</v>
      </c>
      <c r="X28" s="7">
        <f>_xlfn.XLOOKUP(H28, Sheet3!$E:$E, Sheet3!$B:$B, "")</f>
        <v>0</v>
      </c>
      <c r="Y28" s="7">
        <f>_xlfn.XLOOKUP(H28, Sheet3!$E:$E, Sheet3!$C:$C, "")</f>
        <v>0</v>
      </c>
      <c r="Z28" s="7">
        <f>_xlfn.XLOOKUP(H28, Sheet3!$E:$E, Sheet3!$D:$D, "")</f>
        <v>0</v>
      </c>
    </row>
    <row r="29" spans="1:26" x14ac:dyDescent="0.25">
      <c r="A29" t="s">
        <v>159</v>
      </c>
      <c r="B29" t="s">
        <v>17</v>
      </c>
      <c r="C29" t="s">
        <v>18</v>
      </c>
      <c r="D29" t="s">
        <v>160</v>
      </c>
      <c r="E29" t="s">
        <v>20</v>
      </c>
      <c r="F29" t="s">
        <v>53</v>
      </c>
      <c r="G29" t="s">
        <v>161</v>
      </c>
      <c r="H29" t="s">
        <v>162</v>
      </c>
      <c r="J29" t="s">
        <v>163</v>
      </c>
      <c r="K29" t="s">
        <v>25</v>
      </c>
      <c r="L29" t="s">
        <v>122</v>
      </c>
      <c r="M29" t="s">
        <v>27</v>
      </c>
      <c r="N29" t="s">
        <v>74</v>
      </c>
      <c r="O29" t="s">
        <v>29</v>
      </c>
      <c r="P29" t="s">
        <v>89</v>
      </c>
      <c r="X29" s="7" t="str">
        <f>_xlfn.XLOOKUP(H29, Sheet3!$E:$E, Sheet3!$B:$B, "")</f>
        <v/>
      </c>
      <c r="Y29" s="7" t="str">
        <f>_xlfn.XLOOKUP(H29, Sheet3!$E:$E, Sheet3!$C:$C, "")</f>
        <v/>
      </c>
      <c r="Z29" s="7" t="str">
        <f>_xlfn.XLOOKUP(H29, Sheet3!$E:$E, Sheet3!$D:$D, "")</f>
        <v/>
      </c>
    </row>
    <row r="30" spans="1:26" x14ac:dyDescent="0.25">
      <c r="A30" t="s">
        <v>159</v>
      </c>
      <c r="B30" t="s">
        <v>31</v>
      </c>
      <c r="C30" t="s">
        <v>18</v>
      </c>
      <c r="D30" t="s">
        <v>164</v>
      </c>
      <c r="E30" t="s">
        <v>20</v>
      </c>
      <c r="F30" t="s">
        <v>53</v>
      </c>
      <c r="G30" t="s">
        <v>161</v>
      </c>
      <c r="J30" t="s">
        <v>163</v>
      </c>
      <c r="K30" t="s">
        <v>25</v>
      </c>
      <c r="L30" t="s">
        <v>122</v>
      </c>
      <c r="M30" t="s">
        <v>27</v>
      </c>
      <c r="N30" t="s">
        <v>74</v>
      </c>
      <c r="O30" t="s">
        <v>29</v>
      </c>
      <c r="P30" t="s">
        <v>89</v>
      </c>
      <c r="X30" s="7">
        <f>_xlfn.XLOOKUP(H30, Sheet3!$E:$E, Sheet3!$B:$B, "")</f>
        <v>0</v>
      </c>
      <c r="Y30" s="7">
        <f>_xlfn.XLOOKUP(H30, Sheet3!$E:$E, Sheet3!$C:$C, "")</f>
        <v>0</v>
      </c>
      <c r="Z30" s="7">
        <f>_xlfn.XLOOKUP(H30, Sheet3!$E:$E, Sheet3!$D:$D, "")</f>
        <v>0</v>
      </c>
    </row>
    <row r="31" spans="1:26" x14ac:dyDescent="0.25">
      <c r="A31" t="s">
        <v>165</v>
      </c>
      <c r="B31" t="s">
        <v>17</v>
      </c>
      <c r="C31" t="s">
        <v>18</v>
      </c>
      <c r="D31" t="s">
        <v>166</v>
      </c>
      <c r="E31" t="s">
        <v>144</v>
      </c>
      <c r="F31" t="s">
        <v>53</v>
      </c>
      <c r="G31" t="s">
        <v>155</v>
      </c>
      <c r="H31" t="s">
        <v>167</v>
      </c>
      <c r="J31" t="s">
        <v>168</v>
      </c>
      <c r="K31" t="s">
        <v>149</v>
      </c>
      <c r="L31" t="s">
        <v>122</v>
      </c>
      <c r="M31" t="s">
        <v>27</v>
      </c>
      <c r="N31" t="s">
        <v>74</v>
      </c>
      <c r="O31" t="s">
        <v>29</v>
      </c>
      <c r="P31" t="s">
        <v>169</v>
      </c>
      <c r="X31" s="7" t="str">
        <f>_xlfn.XLOOKUP(H31, Sheet3!$E:$E, Sheet3!$B:$B, "")</f>
        <v/>
      </c>
      <c r="Y31" s="7" t="str">
        <f>_xlfn.XLOOKUP(H31, Sheet3!$E:$E, Sheet3!$C:$C, "")</f>
        <v/>
      </c>
      <c r="Z31" s="7" t="str">
        <f>_xlfn.XLOOKUP(H31, Sheet3!$E:$E, Sheet3!$D:$D, "")</f>
        <v/>
      </c>
    </row>
    <row r="32" spans="1:26" x14ac:dyDescent="0.25">
      <c r="A32" t="s">
        <v>165</v>
      </c>
      <c r="B32" t="s">
        <v>31</v>
      </c>
      <c r="C32" t="s">
        <v>18</v>
      </c>
      <c r="D32" t="s">
        <v>170</v>
      </c>
      <c r="E32" t="s">
        <v>144</v>
      </c>
      <c r="F32" t="s">
        <v>53</v>
      </c>
      <c r="G32" t="s">
        <v>155</v>
      </c>
      <c r="J32" t="s">
        <v>171</v>
      </c>
      <c r="K32" t="s">
        <v>149</v>
      </c>
      <c r="L32" t="s">
        <v>122</v>
      </c>
      <c r="M32" t="s">
        <v>27</v>
      </c>
      <c r="N32" t="s">
        <v>74</v>
      </c>
      <c r="O32" t="s">
        <v>29</v>
      </c>
      <c r="P32" t="s">
        <v>169</v>
      </c>
      <c r="X32" s="7">
        <f>_xlfn.XLOOKUP(H32, Sheet3!$E:$E, Sheet3!$B:$B, "")</f>
        <v>0</v>
      </c>
      <c r="Y32" s="7">
        <f>_xlfn.XLOOKUP(H32, Sheet3!$E:$E, Sheet3!$C:$C, "")</f>
        <v>0</v>
      </c>
      <c r="Z32" s="7">
        <f>_xlfn.XLOOKUP(H32, Sheet3!$E:$E, Sheet3!$D:$D, "")</f>
        <v>0</v>
      </c>
    </row>
    <row r="33" spans="1:26" x14ac:dyDescent="0.25">
      <c r="A33" t="s">
        <v>172</v>
      </c>
      <c r="B33" t="s">
        <v>17</v>
      </c>
      <c r="C33" t="s">
        <v>18</v>
      </c>
      <c r="D33" t="s">
        <v>173</v>
      </c>
      <c r="E33" t="s">
        <v>144</v>
      </c>
      <c r="F33" t="s">
        <v>53</v>
      </c>
      <c r="G33" t="s">
        <v>161</v>
      </c>
      <c r="H33" t="s">
        <v>174</v>
      </c>
      <c r="J33" t="s">
        <v>175</v>
      </c>
      <c r="K33" t="s">
        <v>149</v>
      </c>
      <c r="L33" t="s">
        <v>122</v>
      </c>
      <c r="M33" t="s">
        <v>27</v>
      </c>
      <c r="N33" t="s">
        <v>74</v>
      </c>
      <c r="O33" t="s">
        <v>29</v>
      </c>
      <c r="P33" t="s">
        <v>89</v>
      </c>
      <c r="X33" s="7" t="str">
        <f>_xlfn.XLOOKUP(H33, Sheet3!$E:$E, Sheet3!$B:$B, "")</f>
        <v/>
      </c>
      <c r="Y33" s="7" t="str">
        <f>_xlfn.XLOOKUP(H33, Sheet3!$E:$E, Sheet3!$C:$C, "")</f>
        <v/>
      </c>
      <c r="Z33" s="7" t="str">
        <f>_xlfn.XLOOKUP(H33, Sheet3!$E:$E, Sheet3!$D:$D, "")</f>
        <v/>
      </c>
    </row>
    <row r="34" spans="1:26" x14ac:dyDescent="0.25">
      <c r="A34" t="s">
        <v>172</v>
      </c>
      <c r="B34" t="s">
        <v>31</v>
      </c>
      <c r="C34" t="s">
        <v>18</v>
      </c>
      <c r="D34" t="s">
        <v>176</v>
      </c>
      <c r="E34" t="s">
        <v>144</v>
      </c>
      <c r="F34" t="s">
        <v>53</v>
      </c>
      <c r="G34" t="s">
        <v>161</v>
      </c>
      <c r="J34" t="s">
        <v>177</v>
      </c>
      <c r="K34" t="s">
        <v>149</v>
      </c>
      <c r="L34" t="s">
        <v>122</v>
      </c>
      <c r="M34" t="s">
        <v>27</v>
      </c>
      <c r="N34" t="s">
        <v>74</v>
      </c>
      <c r="O34" t="s">
        <v>29</v>
      </c>
      <c r="P34" t="s">
        <v>89</v>
      </c>
      <c r="X34" s="7">
        <f>_xlfn.XLOOKUP(H34, Sheet3!$E:$E, Sheet3!$B:$B, "")</f>
        <v>0</v>
      </c>
      <c r="Y34" s="7">
        <f>_xlfn.XLOOKUP(H34, Sheet3!$E:$E, Sheet3!$C:$C, "")</f>
        <v>0</v>
      </c>
      <c r="Z34" s="7">
        <f>_xlfn.XLOOKUP(H34, Sheet3!$E:$E, Sheet3!$D:$D, "")</f>
        <v>0</v>
      </c>
    </row>
    <row r="35" spans="1:26" x14ac:dyDescent="0.25">
      <c r="A35" t="s">
        <v>178</v>
      </c>
      <c r="B35" t="s">
        <v>17</v>
      </c>
      <c r="C35" t="s">
        <v>18</v>
      </c>
      <c r="D35" t="s">
        <v>179</v>
      </c>
      <c r="E35" t="s">
        <v>144</v>
      </c>
      <c r="F35" t="s">
        <v>35</v>
      </c>
      <c r="G35" t="s">
        <v>180</v>
      </c>
      <c r="H35" t="s">
        <v>181</v>
      </c>
      <c r="J35" t="s">
        <v>182</v>
      </c>
      <c r="K35" t="s">
        <v>149</v>
      </c>
      <c r="L35" t="s">
        <v>122</v>
      </c>
      <c r="M35" t="s">
        <v>27</v>
      </c>
      <c r="N35" t="s">
        <v>74</v>
      </c>
      <c r="O35" t="s">
        <v>29</v>
      </c>
      <c r="P35" t="s">
        <v>89</v>
      </c>
      <c r="X35" s="7" t="str">
        <f>_xlfn.XLOOKUP(H35, Sheet3!$E:$E, Sheet3!$B:$B, "")</f>
        <v/>
      </c>
      <c r="Y35" s="7" t="str">
        <f>_xlfn.XLOOKUP(H35, Sheet3!$E:$E, Sheet3!$C:$C, "")</f>
        <v/>
      </c>
      <c r="Z35" s="7" t="str">
        <f>_xlfn.XLOOKUP(H35, Sheet3!$E:$E, Sheet3!$D:$D, "")</f>
        <v/>
      </c>
    </row>
    <row r="36" spans="1:26" x14ac:dyDescent="0.25">
      <c r="A36" t="s">
        <v>178</v>
      </c>
      <c r="B36" t="s">
        <v>31</v>
      </c>
      <c r="C36" t="s">
        <v>18</v>
      </c>
      <c r="D36" t="s">
        <v>183</v>
      </c>
      <c r="E36" t="s">
        <v>144</v>
      </c>
      <c r="F36" t="s">
        <v>35</v>
      </c>
      <c r="G36" t="s">
        <v>180</v>
      </c>
      <c r="J36" t="s">
        <v>184</v>
      </c>
      <c r="K36" t="s">
        <v>149</v>
      </c>
      <c r="L36" t="s">
        <v>122</v>
      </c>
      <c r="M36" t="s">
        <v>27</v>
      </c>
      <c r="N36" t="s">
        <v>74</v>
      </c>
      <c r="O36" t="s">
        <v>29</v>
      </c>
      <c r="P36" t="s">
        <v>89</v>
      </c>
      <c r="X36" s="7">
        <f>_xlfn.XLOOKUP(H36, Sheet3!$E:$E, Sheet3!$B:$B, "")</f>
        <v>0</v>
      </c>
      <c r="Y36" s="7">
        <f>_xlfn.XLOOKUP(H36, Sheet3!$E:$E, Sheet3!$C:$C, "")</f>
        <v>0</v>
      </c>
      <c r="Z36" s="7">
        <f>_xlfn.XLOOKUP(H36, Sheet3!$E:$E, Sheet3!$D:$D, "")</f>
        <v>0</v>
      </c>
    </row>
    <row r="37" spans="1:26" x14ac:dyDescent="0.25">
      <c r="A37" t="s">
        <v>185</v>
      </c>
      <c r="B37" t="s">
        <v>17</v>
      </c>
      <c r="C37" t="s">
        <v>18</v>
      </c>
      <c r="D37" t="s">
        <v>186</v>
      </c>
      <c r="E37" t="s">
        <v>187</v>
      </c>
      <c r="F37" t="s">
        <v>35</v>
      </c>
      <c r="G37" t="s">
        <v>188</v>
      </c>
      <c r="H37" t="s">
        <v>189</v>
      </c>
      <c r="J37" t="s">
        <v>190</v>
      </c>
      <c r="K37" t="s">
        <v>149</v>
      </c>
      <c r="L37" t="s">
        <v>122</v>
      </c>
      <c r="M37" t="s">
        <v>27</v>
      </c>
      <c r="N37" t="s">
        <v>74</v>
      </c>
      <c r="O37" t="s">
        <v>29</v>
      </c>
      <c r="P37" t="s">
        <v>89</v>
      </c>
      <c r="X37" s="7" t="str">
        <f>_xlfn.XLOOKUP(H37, Sheet3!$E:$E, Sheet3!$B:$B, "")</f>
        <v/>
      </c>
      <c r="Y37" s="7" t="str">
        <f>_xlfn.XLOOKUP(H37, Sheet3!$E:$E, Sheet3!$C:$C, "")</f>
        <v/>
      </c>
      <c r="Z37" s="7" t="str">
        <f>_xlfn.XLOOKUP(H37, Sheet3!$E:$E, Sheet3!$D:$D, "")</f>
        <v/>
      </c>
    </row>
    <row r="38" spans="1:26" x14ac:dyDescent="0.25">
      <c r="A38" t="s">
        <v>185</v>
      </c>
      <c r="B38" t="s">
        <v>31</v>
      </c>
      <c r="C38" t="s">
        <v>18</v>
      </c>
      <c r="D38" t="s">
        <v>191</v>
      </c>
      <c r="E38" t="s">
        <v>187</v>
      </c>
      <c r="F38" t="s">
        <v>35</v>
      </c>
      <c r="G38" t="s">
        <v>188</v>
      </c>
      <c r="J38" t="s">
        <v>192</v>
      </c>
      <c r="K38" t="s">
        <v>149</v>
      </c>
      <c r="L38" t="s">
        <v>122</v>
      </c>
      <c r="M38" t="s">
        <v>27</v>
      </c>
      <c r="N38" t="s">
        <v>74</v>
      </c>
      <c r="O38" t="s">
        <v>29</v>
      </c>
      <c r="P38" t="s">
        <v>89</v>
      </c>
      <c r="X38" s="7">
        <f>_xlfn.XLOOKUP(H38, Sheet3!$E:$E, Sheet3!$B:$B, "")</f>
        <v>0</v>
      </c>
      <c r="Y38" s="7">
        <f>_xlfn.XLOOKUP(H38, Sheet3!$E:$E, Sheet3!$C:$C, "")</f>
        <v>0</v>
      </c>
      <c r="Z38" s="7">
        <f>_xlfn.XLOOKUP(H38, Sheet3!$E:$E, Sheet3!$D:$D, "")</f>
        <v>0</v>
      </c>
    </row>
    <row r="39" spans="1:26" x14ac:dyDescent="0.25">
      <c r="A39" t="s">
        <v>193</v>
      </c>
      <c r="B39" t="s">
        <v>51</v>
      </c>
      <c r="C39" t="s">
        <v>18</v>
      </c>
      <c r="D39" t="s">
        <v>194</v>
      </c>
      <c r="E39" t="s">
        <v>144</v>
      </c>
      <c r="F39" t="s">
        <v>21</v>
      </c>
      <c r="G39" t="s">
        <v>195</v>
      </c>
      <c r="H39" t="s">
        <v>196</v>
      </c>
      <c r="J39" t="s">
        <v>197</v>
      </c>
      <c r="K39" t="s">
        <v>149</v>
      </c>
      <c r="L39" t="s">
        <v>122</v>
      </c>
      <c r="M39" t="s">
        <v>27</v>
      </c>
      <c r="N39" t="s">
        <v>74</v>
      </c>
      <c r="O39" t="s">
        <v>29</v>
      </c>
      <c r="P39" t="s">
        <v>198</v>
      </c>
      <c r="X39" s="7" t="str">
        <f>_xlfn.XLOOKUP(H39, Sheet3!$E:$E, Sheet3!$B:$B, "")</f>
        <v/>
      </c>
      <c r="Y39" s="7" t="str">
        <f>_xlfn.XLOOKUP(H39, Sheet3!$E:$E, Sheet3!$C:$C, "")</f>
        <v/>
      </c>
      <c r="Z39" s="7" t="str">
        <f>_xlfn.XLOOKUP(H39, Sheet3!$E:$E, Sheet3!$D:$D, "")</f>
        <v/>
      </c>
    </row>
    <row r="40" spans="1:26" x14ac:dyDescent="0.25">
      <c r="A40" t="s">
        <v>199</v>
      </c>
      <c r="B40" t="s">
        <v>17</v>
      </c>
      <c r="C40" t="s">
        <v>18</v>
      </c>
      <c r="D40" t="s">
        <v>200</v>
      </c>
      <c r="E40" t="s">
        <v>201</v>
      </c>
      <c r="F40" t="s">
        <v>35</v>
      </c>
      <c r="G40" t="s">
        <v>202</v>
      </c>
      <c r="H40" t="s">
        <v>203</v>
      </c>
      <c r="J40" t="s">
        <v>204</v>
      </c>
      <c r="K40" t="s">
        <v>149</v>
      </c>
      <c r="L40" t="s">
        <v>205</v>
      </c>
      <c r="M40" t="s">
        <v>27</v>
      </c>
      <c r="N40" t="s">
        <v>74</v>
      </c>
      <c r="O40" t="s">
        <v>29</v>
      </c>
      <c r="P40" t="s">
        <v>89</v>
      </c>
      <c r="Q40" s="7" t="s">
        <v>1088</v>
      </c>
      <c r="R40" s="7" t="s">
        <v>1125</v>
      </c>
      <c r="S40" s="7" t="s">
        <v>1143</v>
      </c>
      <c r="T40" s="5">
        <v>0.125</v>
      </c>
      <c r="U40" s="4" t="s">
        <v>1128</v>
      </c>
      <c r="V40" s="7" t="s">
        <v>1127</v>
      </c>
      <c r="X40" s="7" t="s">
        <v>1188</v>
      </c>
      <c r="Y40" s="7" t="s">
        <v>1223</v>
      </c>
      <c r="Z40" s="7" t="s">
        <v>1217</v>
      </c>
    </row>
    <row r="41" spans="1:26" x14ac:dyDescent="0.25">
      <c r="A41" t="s">
        <v>199</v>
      </c>
      <c r="B41" t="s">
        <v>31</v>
      </c>
      <c r="C41" t="s">
        <v>18</v>
      </c>
      <c r="D41" t="s">
        <v>206</v>
      </c>
      <c r="E41" t="s">
        <v>201</v>
      </c>
      <c r="F41" t="s">
        <v>35</v>
      </c>
      <c r="G41" t="s">
        <v>202</v>
      </c>
      <c r="J41" t="s">
        <v>207</v>
      </c>
      <c r="K41" t="s">
        <v>149</v>
      </c>
      <c r="L41" t="s">
        <v>205</v>
      </c>
      <c r="M41" t="s">
        <v>27</v>
      </c>
      <c r="N41" t="s">
        <v>74</v>
      </c>
      <c r="O41" t="s">
        <v>29</v>
      </c>
      <c r="P41" t="s">
        <v>89</v>
      </c>
      <c r="X41" s="7">
        <f>_xlfn.XLOOKUP(H41, Sheet3!$E:$E, Sheet3!$B:$B, "")</f>
        <v>0</v>
      </c>
      <c r="Y41" s="7">
        <f>_xlfn.XLOOKUP(H41, Sheet3!$E:$E, Sheet3!$C:$C, "")</f>
        <v>0</v>
      </c>
      <c r="Z41" s="7">
        <f>_xlfn.XLOOKUP(H41, Sheet3!$E:$E, Sheet3!$D:$D, "")</f>
        <v>0</v>
      </c>
    </row>
    <row r="42" spans="1:26" x14ac:dyDescent="0.25">
      <c r="A42" t="s">
        <v>208</v>
      </c>
      <c r="B42" t="s">
        <v>17</v>
      </c>
      <c r="C42" t="s">
        <v>18</v>
      </c>
      <c r="D42" t="s">
        <v>209</v>
      </c>
      <c r="E42" t="s">
        <v>201</v>
      </c>
      <c r="F42" t="s">
        <v>35</v>
      </c>
      <c r="G42" t="s">
        <v>210</v>
      </c>
      <c r="H42" t="s">
        <v>211</v>
      </c>
      <c r="J42" t="s">
        <v>204</v>
      </c>
      <c r="K42" t="s">
        <v>149</v>
      </c>
      <c r="L42" t="s">
        <v>212</v>
      </c>
      <c r="M42" t="s">
        <v>27</v>
      </c>
      <c r="N42" t="s">
        <v>74</v>
      </c>
      <c r="O42" t="s">
        <v>29</v>
      </c>
      <c r="P42" t="s">
        <v>89</v>
      </c>
      <c r="Q42" t="s">
        <v>1100</v>
      </c>
      <c r="R42" s="7" t="s">
        <v>1154</v>
      </c>
      <c r="S42" s="7" t="s">
        <v>1175</v>
      </c>
      <c r="T42" s="5">
        <v>0.125</v>
      </c>
      <c r="U42" s="4" t="s">
        <v>1128</v>
      </c>
      <c r="V42" s="7" t="s">
        <v>1156</v>
      </c>
      <c r="X42" s="7" t="str">
        <f>_xlfn.XLOOKUP(H42, Sheet3!$E:$E, Sheet3!$B:$B, "")</f>
        <v>초등</v>
      </c>
      <c r="Y42" s="7" t="str">
        <f>_xlfn.XLOOKUP(H42, Sheet3!$E:$E, Sheet3!$C:$C, "")</f>
        <v>수학 4-2</v>
      </c>
      <c r="Z42" s="7" t="str">
        <f>_xlfn.XLOOKUP(H42, Sheet3!$E:$E, Sheet3!$D:$D, "")</f>
        <v>한대희</v>
      </c>
    </row>
    <row r="43" spans="1:26" x14ac:dyDescent="0.25">
      <c r="A43" t="s">
        <v>208</v>
      </c>
      <c r="B43" t="s">
        <v>31</v>
      </c>
      <c r="C43" t="s">
        <v>18</v>
      </c>
      <c r="D43" t="s">
        <v>213</v>
      </c>
      <c r="E43" t="s">
        <v>201</v>
      </c>
      <c r="F43" t="s">
        <v>35</v>
      </c>
      <c r="G43" t="s">
        <v>210</v>
      </c>
      <c r="J43" t="s">
        <v>207</v>
      </c>
      <c r="K43" t="s">
        <v>149</v>
      </c>
      <c r="L43" t="s">
        <v>214</v>
      </c>
      <c r="M43" t="s">
        <v>27</v>
      </c>
      <c r="N43" t="s">
        <v>74</v>
      </c>
      <c r="O43" t="s">
        <v>29</v>
      </c>
      <c r="P43" t="s">
        <v>89</v>
      </c>
      <c r="X43" s="7">
        <f>_xlfn.XLOOKUP(H43, Sheet3!$E:$E, Sheet3!$B:$B, "")</f>
        <v>0</v>
      </c>
      <c r="Y43" s="7">
        <f>_xlfn.XLOOKUP(H43, Sheet3!$E:$E, Sheet3!$C:$C, "")</f>
        <v>0</v>
      </c>
      <c r="Z43" s="7">
        <f>_xlfn.XLOOKUP(H43, Sheet3!$E:$E, Sheet3!$D:$D, "")</f>
        <v>0</v>
      </c>
    </row>
    <row r="44" spans="1:26" x14ac:dyDescent="0.25">
      <c r="A44" t="s">
        <v>215</v>
      </c>
      <c r="B44" t="s">
        <v>17</v>
      </c>
      <c r="C44" t="s">
        <v>18</v>
      </c>
      <c r="D44" t="s">
        <v>216</v>
      </c>
      <c r="E44" t="s">
        <v>201</v>
      </c>
      <c r="F44" t="s">
        <v>35</v>
      </c>
      <c r="G44" t="s">
        <v>210</v>
      </c>
      <c r="H44" t="s">
        <v>217</v>
      </c>
      <c r="J44" t="s">
        <v>218</v>
      </c>
      <c r="K44" t="s">
        <v>149</v>
      </c>
      <c r="L44" t="s">
        <v>212</v>
      </c>
      <c r="M44" t="s">
        <v>27</v>
      </c>
      <c r="N44" t="s">
        <v>74</v>
      </c>
      <c r="O44" t="s">
        <v>29</v>
      </c>
      <c r="P44" t="s">
        <v>89</v>
      </c>
      <c r="Q44" t="s">
        <v>1100</v>
      </c>
      <c r="R44" s="7" t="s">
        <v>1154</v>
      </c>
      <c r="S44" s="7" t="s">
        <v>1173</v>
      </c>
      <c r="T44" s="5">
        <v>0.125</v>
      </c>
      <c r="U44" s="4" t="s">
        <v>1128</v>
      </c>
      <c r="V44" s="7" t="s">
        <v>1156</v>
      </c>
      <c r="X44" s="7" t="str">
        <f>_xlfn.XLOOKUP(H44, Sheet3!$E:$E, Sheet3!$B:$B, "")</f>
        <v>초등</v>
      </c>
      <c r="Y44" s="7" t="str">
        <f>_xlfn.XLOOKUP(H44, Sheet3!$E:$E, Sheet3!$C:$C, "")</f>
        <v>수학 3-2</v>
      </c>
      <c r="Z44" s="7" t="str">
        <f>_xlfn.XLOOKUP(H44, Sheet3!$E:$E, Sheet3!$D:$D, "")</f>
        <v>한대희</v>
      </c>
    </row>
    <row r="45" spans="1:26" x14ac:dyDescent="0.25">
      <c r="A45" t="s">
        <v>215</v>
      </c>
      <c r="B45" t="s">
        <v>31</v>
      </c>
      <c r="C45" t="s">
        <v>18</v>
      </c>
      <c r="D45" t="s">
        <v>219</v>
      </c>
      <c r="E45" t="s">
        <v>201</v>
      </c>
      <c r="F45" t="s">
        <v>35</v>
      </c>
      <c r="G45" t="s">
        <v>210</v>
      </c>
      <c r="J45" t="s">
        <v>220</v>
      </c>
      <c r="K45" t="s">
        <v>149</v>
      </c>
      <c r="L45" t="s">
        <v>214</v>
      </c>
      <c r="M45" t="s">
        <v>27</v>
      </c>
      <c r="N45" t="s">
        <v>74</v>
      </c>
      <c r="O45" t="s">
        <v>29</v>
      </c>
      <c r="P45" t="s">
        <v>89</v>
      </c>
      <c r="X45" s="7">
        <f>_xlfn.XLOOKUP(H45, Sheet3!$E:$E, Sheet3!$B:$B, "")</f>
        <v>0</v>
      </c>
      <c r="Y45" s="7">
        <f>_xlfn.XLOOKUP(H45, Sheet3!$E:$E, Sheet3!$C:$C, "")</f>
        <v>0</v>
      </c>
      <c r="Z45" s="7">
        <f>_xlfn.XLOOKUP(H45, Sheet3!$E:$E, Sheet3!$D:$D, "")</f>
        <v>0</v>
      </c>
    </row>
    <row r="46" spans="1:26" x14ac:dyDescent="0.25">
      <c r="A46" t="s">
        <v>221</v>
      </c>
      <c r="B46" t="s">
        <v>17</v>
      </c>
      <c r="C46" t="s">
        <v>18</v>
      </c>
      <c r="D46" t="s">
        <v>222</v>
      </c>
      <c r="E46" t="s">
        <v>201</v>
      </c>
      <c r="F46" t="s">
        <v>35</v>
      </c>
      <c r="G46" t="s">
        <v>223</v>
      </c>
      <c r="H46" t="s">
        <v>224</v>
      </c>
      <c r="J46" t="s">
        <v>225</v>
      </c>
      <c r="K46" t="s">
        <v>149</v>
      </c>
      <c r="L46" t="s">
        <v>226</v>
      </c>
      <c r="M46" t="s">
        <v>27</v>
      </c>
      <c r="N46" t="s">
        <v>74</v>
      </c>
      <c r="O46" t="s">
        <v>29</v>
      </c>
      <c r="P46" t="s">
        <v>89</v>
      </c>
      <c r="Q46" t="s">
        <v>1100</v>
      </c>
      <c r="R46" s="7" t="s">
        <v>1154</v>
      </c>
      <c r="S46" s="7" t="s">
        <v>1171</v>
      </c>
      <c r="T46" s="5">
        <v>0.125</v>
      </c>
      <c r="U46" s="4" t="s">
        <v>1128</v>
      </c>
      <c r="V46" s="7" t="s">
        <v>1156</v>
      </c>
      <c r="X46" s="7" t="str">
        <f>_xlfn.XLOOKUP(H46, Sheet3!$E:$E, Sheet3!$B:$B, "")</f>
        <v>초등</v>
      </c>
      <c r="Y46" s="7" t="str">
        <f>_xlfn.XLOOKUP(H46, Sheet3!$E:$E, Sheet3!$C:$C, "")</f>
        <v>수학 4-2</v>
      </c>
      <c r="Z46" s="7" t="str">
        <f>_xlfn.XLOOKUP(H46, Sheet3!$E:$E, Sheet3!$D:$D, "")</f>
        <v>박만구</v>
      </c>
    </row>
    <row r="47" spans="1:26" x14ac:dyDescent="0.25">
      <c r="A47" t="s">
        <v>221</v>
      </c>
      <c r="B47" t="s">
        <v>31</v>
      </c>
      <c r="C47" t="s">
        <v>18</v>
      </c>
      <c r="D47" t="s">
        <v>227</v>
      </c>
      <c r="E47" t="s">
        <v>201</v>
      </c>
      <c r="F47" t="s">
        <v>35</v>
      </c>
      <c r="G47" t="s">
        <v>223</v>
      </c>
      <c r="J47" t="s">
        <v>218</v>
      </c>
      <c r="K47" t="s">
        <v>149</v>
      </c>
      <c r="L47" t="s">
        <v>212</v>
      </c>
      <c r="M47" t="s">
        <v>27</v>
      </c>
      <c r="N47" t="s">
        <v>74</v>
      </c>
      <c r="O47" t="s">
        <v>29</v>
      </c>
      <c r="P47" t="s">
        <v>89</v>
      </c>
      <c r="X47" s="7">
        <f>_xlfn.XLOOKUP(H47, Sheet3!$E:$E, Sheet3!$B:$B, "")</f>
        <v>0</v>
      </c>
      <c r="Y47" s="7">
        <f>_xlfn.XLOOKUP(H47, Sheet3!$E:$E, Sheet3!$C:$C, "")</f>
        <v>0</v>
      </c>
      <c r="Z47" s="7">
        <f>_xlfn.XLOOKUP(H47, Sheet3!$E:$E, Sheet3!$D:$D, "")</f>
        <v>0</v>
      </c>
    </row>
    <row r="48" spans="1:26" x14ac:dyDescent="0.25">
      <c r="A48" t="s">
        <v>228</v>
      </c>
      <c r="B48" t="s">
        <v>17</v>
      </c>
      <c r="C48" t="s">
        <v>18</v>
      </c>
      <c r="D48" t="s">
        <v>229</v>
      </c>
      <c r="E48" t="s">
        <v>201</v>
      </c>
      <c r="F48" t="s">
        <v>35</v>
      </c>
      <c r="G48" t="s">
        <v>223</v>
      </c>
      <c r="H48" t="s">
        <v>230</v>
      </c>
      <c r="J48" t="s">
        <v>225</v>
      </c>
      <c r="K48" t="s">
        <v>149</v>
      </c>
      <c r="L48" t="s">
        <v>212</v>
      </c>
      <c r="M48" t="s">
        <v>27</v>
      </c>
      <c r="N48" t="s">
        <v>74</v>
      </c>
      <c r="O48" t="s">
        <v>29</v>
      </c>
      <c r="P48" t="s">
        <v>89</v>
      </c>
      <c r="Q48" t="s">
        <v>1100</v>
      </c>
      <c r="R48" s="7" t="s">
        <v>1154</v>
      </c>
      <c r="S48" s="7" t="s">
        <v>1169</v>
      </c>
      <c r="T48" s="5">
        <v>0.125</v>
      </c>
      <c r="U48" s="4" t="s">
        <v>1128</v>
      </c>
      <c r="V48" s="7" t="s">
        <v>1156</v>
      </c>
      <c r="X48" s="7" t="str">
        <f>_xlfn.XLOOKUP(H48, Sheet3!$E:$E, Sheet3!$B:$B, "")</f>
        <v>초등</v>
      </c>
      <c r="Y48" s="7" t="str">
        <f>_xlfn.XLOOKUP(H48, Sheet3!$E:$E, Sheet3!$C:$C, "")</f>
        <v>수학 3-2</v>
      </c>
      <c r="Z48" s="7" t="str">
        <f>_xlfn.XLOOKUP(H48, Sheet3!$E:$E, Sheet3!$D:$D, "")</f>
        <v>박만구</v>
      </c>
    </row>
    <row r="49" spans="1:26" x14ac:dyDescent="0.25">
      <c r="A49" t="s">
        <v>228</v>
      </c>
      <c r="B49" t="s">
        <v>31</v>
      </c>
      <c r="C49" t="s">
        <v>18</v>
      </c>
      <c r="D49" t="s">
        <v>231</v>
      </c>
      <c r="E49" t="s">
        <v>201</v>
      </c>
      <c r="F49" t="s">
        <v>35</v>
      </c>
      <c r="G49" t="s">
        <v>223</v>
      </c>
      <c r="J49" t="s">
        <v>232</v>
      </c>
      <c r="K49" t="s">
        <v>149</v>
      </c>
      <c r="L49" t="s">
        <v>214</v>
      </c>
      <c r="M49" t="s">
        <v>27</v>
      </c>
      <c r="N49" t="s">
        <v>74</v>
      </c>
      <c r="O49" t="s">
        <v>29</v>
      </c>
      <c r="P49" t="s">
        <v>89</v>
      </c>
      <c r="X49" s="7">
        <f>_xlfn.XLOOKUP(H49, Sheet3!$E:$E, Sheet3!$B:$B, "")</f>
        <v>0</v>
      </c>
      <c r="Y49" s="7">
        <f>_xlfn.XLOOKUP(H49, Sheet3!$E:$E, Sheet3!$C:$C, "")</f>
        <v>0</v>
      </c>
      <c r="Z49" s="7">
        <f>_xlfn.XLOOKUP(H49, Sheet3!$E:$E, Sheet3!$D:$D, "")</f>
        <v>0</v>
      </c>
    </row>
    <row r="50" spans="1:26" x14ac:dyDescent="0.25">
      <c r="A50" t="s">
        <v>233</v>
      </c>
      <c r="B50" t="s">
        <v>17</v>
      </c>
      <c r="C50" t="s">
        <v>18</v>
      </c>
      <c r="D50" t="s">
        <v>234</v>
      </c>
      <c r="E50" t="s">
        <v>201</v>
      </c>
      <c r="F50" t="s">
        <v>35</v>
      </c>
      <c r="G50" t="s">
        <v>1182</v>
      </c>
      <c r="H50" t="s">
        <v>1183</v>
      </c>
      <c r="J50" t="s">
        <v>237</v>
      </c>
      <c r="K50" t="s">
        <v>149</v>
      </c>
      <c r="L50" t="s">
        <v>238</v>
      </c>
      <c r="M50" t="s">
        <v>27</v>
      </c>
      <c r="N50" t="s">
        <v>74</v>
      </c>
      <c r="O50" t="s">
        <v>29</v>
      </c>
      <c r="P50" t="s">
        <v>89</v>
      </c>
      <c r="Q50" s="7" t="s">
        <v>1088</v>
      </c>
      <c r="R50" s="7" t="s">
        <v>1125</v>
      </c>
      <c r="S50" s="7" t="s">
        <v>1147</v>
      </c>
      <c r="T50" s="5">
        <v>0.125</v>
      </c>
      <c r="U50" s="4" t="s">
        <v>1128</v>
      </c>
      <c r="V50" s="7" t="s">
        <v>1127</v>
      </c>
      <c r="X50" s="7" t="str">
        <f>_xlfn.XLOOKUP(H50, Sheet3!$E:$E, Sheet3!$B:$B, "")</f>
        <v>초등</v>
      </c>
      <c r="Y50" s="7" t="str">
        <f>_xlfn.XLOOKUP(H50, Sheet3!$E:$E, Sheet3!$C:$C, "")</f>
        <v>수학 4-2</v>
      </c>
      <c r="Z50" s="7" t="str">
        <f>_xlfn.XLOOKUP(H50, Sheet3!$E:$E, Sheet3!$D:$D, "")</f>
        <v>한대희</v>
      </c>
    </row>
    <row r="51" spans="1:26" x14ac:dyDescent="0.25">
      <c r="A51" t="s">
        <v>233</v>
      </c>
      <c r="B51" t="s">
        <v>31</v>
      </c>
      <c r="C51" t="s">
        <v>18</v>
      </c>
      <c r="D51" t="s">
        <v>239</v>
      </c>
      <c r="E51" t="s">
        <v>201</v>
      </c>
      <c r="F51" t="s">
        <v>35</v>
      </c>
      <c r="G51" t="s">
        <v>235</v>
      </c>
      <c r="J51" t="s">
        <v>240</v>
      </c>
      <c r="K51" t="s">
        <v>149</v>
      </c>
      <c r="L51" t="s">
        <v>238</v>
      </c>
      <c r="M51" t="s">
        <v>27</v>
      </c>
      <c r="N51" t="s">
        <v>74</v>
      </c>
      <c r="O51" t="s">
        <v>29</v>
      </c>
      <c r="P51" t="s">
        <v>89</v>
      </c>
      <c r="X51" s="7">
        <f>_xlfn.XLOOKUP(H51, Sheet3!$E:$E, Sheet3!$B:$B, "")</f>
        <v>0</v>
      </c>
      <c r="Y51" s="7">
        <f>_xlfn.XLOOKUP(H51, Sheet3!$E:$E, Sheet3!$C:$C, "")</f>
        <v>0</v>
      </c>
      <c r="Z51" s="7">
        <f>_xlfn.XLOOKUP(H51, Sheet3!$E:$E, Sheet3!$D:$D, "")</f>
        <v>0</v>
      </c>
    </row>
    <row r="52" spans="1:26" x14ac:dyDescent="0.25">
      <c r="A52" t="s">
        <v>241</v>
      </c>
      <c r="B52" t="s">
        <v>17</v>
      </c>
      <c r="C52" t="s">
        <v>18</v>
      </c>
      <c r="D52" t="s">
        <v>242</v>
      </c>
      <c r="E52" t="s">
        <v>201</v>
      </c>
      <c r="F52" t="s">
        <v>35</v>
      </c>
      <c r="G52" t="s">
        <v>235</v>
      </c>
      <c r="H52" t="s">
        <v>243</v>
      </c>
      <c r="J52" t="s">
        <v>218</v>
      </c>
      <c r="K52" t="s">
        <v>149</v>
      </c>
      <c r="L52" t="s">
        <v>244</v>
      </c>
      <c r="M52" t="s">
        <v>27</v>
      </c>
      <c r="N52" t="s">
        <v>74</v>
      </c>
      <c r="O52" t="s">
        <v>29</v>
      </c>
      <c r="P52" t="s">
        <v>89</v>
      </c>
      <c r="Q52" s="7" t="s">
        <v>1088</v>
      </c>
      <c r="R52" s="7" t="s">
        <v>1125</v>
      </c>
      <c r="S52" s="7" t="s">
        <v>1145</v>
      </c>
      <c r="T52" s="5">
        <v>0.125</v>
      </c>
      <c r="U52" s="4" t="s">
        <v>1128</v>
      </c>
      <c r="V52" s="7" t="s">
        <v>1127</v>
      </c>
      <c r="X52" s="7" t="str">
        <f>_xlfn.XLOOKUP(H52, Sheet3!$E:$E, Sheet3!$B:$B, "")</f>
        <v>초등</v>
      </c>
      <c r="Y52" s="7" t="str">
        <f>_xlfn.XLOOKUP(H52, Sheet3!$E:$E, Sheet3!$C:$C, "")</f>
        <v>수학 3-2</v>
      </c>
      <c r="Z52" s="7" t="str">
        <f>_xlfn.XLOOKUP(H52, Sheet3!$E:$E, Sheet3!$D:$D, "")</f>
        <v>한대희</v>
      </c>
    </row>
    <row r="53" spans="1:26" x14ac:dyDescent="0.25">
      <c r="A53" t="s">
        <v>241</v>
      </c>
      <c r="B53" t="s">
        <v>31</v>
      </c>
      <c r="C53" t="s">
        <v>18</v>
      </c>
      <c r="D53" t="s">
        <v>245</v>
      </c>
      <c r="E53" t="s">
        <v>201</v>
      </c>
      <c r="F53" t="s">
        <v>35</v>
      </c>
      <c r="G53" t="s">
        <v>235</v>
      </c>
      <c r="J53" t="s">
        <v>220</v>
      </c>
      <c r="K53" t="s">
        <v>149</v>
      </c>
      <c r="L53" t="s">
        <v>68</v>
      </c>
      <c r="M53" t="s">
        <v>27</v>
      </c>
      <c r="N53" t="s">
        <v>74</v>
      </c>
      <c r="O53" t="s">
        <v>29</v>
      </c>
      <c r="P53" t="s">
        <v>89</v>
      </c>
      <c r="X53" s="7">
        <f>_xlfn.XLOOKUP(H53, Sheet3!$E:$E, Sheet3!$B:$B, "")</f>
        <v>0</v>
      </c>
      <c r="Y53" s="7">
        <f>_xlfn.XLOOKUP(H53, Sheet3!$E:$E, Sheet3!$C:$C, "")</f>
        <v>0</v>
      </c>
      <c r="Z53" s="7">
        <f>_xlfn.XLOOKUP(H53, Sheet3!$E:$E, Sheet3!$D:$D, "")</f>
        <v>0</v>
      </c>
    </row>
    <row r="54" spans="1:26" x14ac:dyDescent="0.25">
      <c r="A54" t="s">
        <v>246</v>
      </c>
      <c r="B54" t="s">
        <v>17</v>
      </c>
      <c r="C54" t="s">
        <v>18</v>
      </c>
      <c r="D54" t="s">
        <v>247</v>
      </c>
      <c r="E54" t="s">
        <v>201</v>
      </c>
      <c r="F54" t="s">
        <v>35</v>
      </c>
      <c r="G54" t="s">
        <v>202</v>
      </c>
      <c r="H54" t="s">
        <v>248</v>
      </c>
      <c r="J54" t="s">
        <v>249</v>
      </c>
      <c r="K54" t="s">
        <v>149</v>
      </c>
      <c r="L54" t="s">
        <v>250</v>
      </c>
      <c r="M54" t="s">
        <v>27</v>
      </c>
      <c r="N54" t="s">
        <v>74</v>
      </c>
      <c r="O54" t="s">
        <v>29</v>
      </c>
      <c r="P54" t="s">
        <v>89</v>
      </c>
      <c r="Q54" s="7" t="s">
        <v>1088</v>
      </c>
      <c r="R54" s="7" t="s">
        <v>1125</v>
      </c>
      <c r="S54" s="7" t="s">
        <v>1141</v>
      </c>
      <c r="T54" s="5">
        <v>0.125</v>
      </c>
      <c r="U54" s="4" t="s">
        <v>1128</v>
      </c>
      <c r="V54" s="7" t="s">
        <v>1127</v>
      </c>
      <c r="X54" s="7" t="str">
        <f>_xlfn.XLOOKUP(H54, Sheet3!$E:$E, Sheet3!$B:$B, "")</f>
        <v>초등</v>
      </c>
      <c r="Y54" s="7" t="str">
        <f>_xlfn.XLOOKUP(H54, Sheet3!$E:$E, Sheet3!$C:$C, "")</f>
        <v>수학 3-2</v>
      </c>
      <c r="Z54" s="7" t="str">
        <f>_xlfn.XLOOKUP(H54, Sheet3!$E:$E, Sheet3!$D:$D, "")</f>
        <v>박만구</v>
      </c>
    </row>
    <row r="55" spans="1:26" x14ac:dyDescent="0.25">
      <c r="A55" t="s">
        <v>246</v>
      </c>
      <c r="B55" t="s">
        <v>31</v>
      </c>
      <c r="C55" t="s">
        <v>18</v>
      </c>
      <c r="D55" t="s">
        <v>251</v>
      </c>
      <c r="E55" t="s">
        <v>201</v>
      </c>
      <c r="F55" t="s">
        <v>35</v>
      </c>
      <c r="G55" t="s">
        <v>202</v>
      </c>
      <c r="J55" t="s">
        <v>207</v>
      </c>
      <c r="K55" t="s">
        <v>149</v>
      </c>
      <c r="L55" t="s">
        <v>250</v>
      </c>
      <c r="M55" t="s">
        <v>27</v>
      </c>
      <c r="N55" t="s">
        <v>74</v>
      </c>
      <c r="O55" t="s">
        <v>29</v>
      </c>
      <c r="P55" t="s">
        <v>89</v>
      </c>
      <c r="X55" s="7">
        <f>_xlfn.XLOOKUP(H55, Sheet3!$E:$E, Sheet3!$B:$B, "")</f>
        <v>0</v>
      </c>
      <c r="Y55" s="7">
        <f>_xlfn.XLOOKUP(H55, Sheet3!$E:$E, Sheet3!$C:$C, "")</f>
        <v>0</v>
      </c>
      <c r="Z55" s="7">
        <f>_xlfn.XLOOKUP(H55, Sheet3!$E:$E, Sheet3!$D:$D, "")</f>
        <v>0</v>
      </c>
    </row>
    <row r="56" spans="1:26" x14ac:dyDescent="0.25">
      <c r="A56" t="s">
        <v>252</v>
      </c>
      <c r="B56" t="s">
        <v>17</v>
      </c>
      <c r="C56" t="s">
        <v>18</v>
      </c>
      <c r="D56" t="s">
        <v>253</v>
      </c>
      <c r="E56" t="s">
        <v>144</v>
      </c>
      <c r="F56" t="s">
        <v>35</v>
      </c>
      <c r="G56" t="s">
        <v>254</v>
      </c>
      <c r="H56" t="s">
        <v>255</v>
      </c>
      <c r="J56" t="s">
        <v>256</v>
      </c>
      <c r="K56" t="s">
        <v>149</v>
      </c>
      <c r="L56" t="s">
        <v>122</v>
      </c>
      <c r="M56" t="s">
        <v>27</v>
      </c>
      <c r="N56" t="s">
        <v>74</v>
      </c>
      <c r="O56" t="s">
        <v>29</v>
      </c>
      <c r="P56" t="s">
        <v>89</v>
      </c>
      <c r="X56" s="7" t="str">
        <f>_xlfn.XLOOKUP(H56, Sheet3!$E:$E, Sheet3!$B:$B, "")</f>
        <v/>
      </c>
      <c r="Y56" s="7" t="str">
        <f>_xlfn.XLOOKUP(H56, Sheet3!$E:$E, Sheet3!$C:$C, "")</f>
        <v/>
      </c>
      <c r="Z56" s="7" t="str">
        <f>_xlfn.XLOOKUP(H56, Sheet3!$E:$E, Sheet3!$D:$D, "")</f>
        <v/>
      </c>
    </row>
    <row r="57" spans="1:26" x14ac:dyDescent="0.25">
      <c r="A57" t="s">
        <v>252</v>
      </c>
      <c r="B57" t="s">
        <v>31</v>
      </c>
      <c r="C57" t="s">
        <v>18</v>
      </c>
      <c r="D57" t="s">
        <v>257</v>
      </c>
      <c r="E57" t="s">
        <v>144</v>
      </c>
      <c r="F57" t="s">
        <v>35</v>
      </c>
      <c r="G57" t="s">
        <v>254</v>
      </c>
      <c r="J57" t="s">
        <v>258</v>
      </c>
      <c r="K57" t="s">
        <v>149</v>
      </c>
      <c r="L57" t="s">
        <v>122</v>
      </c>
      <c r="M57" t="s">
        <v>27</v>
      </c>
      <c r="N57" t="s">
        <v>74</v>
      </c>
      <c r="O57" t="s">
        <v>29</v>
      </c>
      <c r="P57" t="s">
        <v>89</v>
      </c>
      <c r="X57" s="7">
        <f>_xlfn.XLOOKUP(H57, Sheet3!$E:$E, Sheet3!$B:$B, "")</f>
        <v>0</v>
      </c>
      <c r="Y57" s="7">
        <f>_xlfn.XLOOKUP(H57, Sheet3!$E:$E, Sheet3!$C:$C, "")</f>
        <v>0</v>
      </c>
      <c r="Z57" s="7">
        <f>_xlfn.XLOOKUP(H57, Sheet3!$E:$E, Sheet3!$D:$D, "")</f>
        <v>0</v>
      </c>
    </row>
    <row r="58" spans="1:26" x14ac:dyDescent="0.25">
      <c r="A58" t="s">
        <v>259</v>
      </c>
      <c r="B58" t="s">
        <v>17</v>
      </c>
      <c r="C58" t="s">
        <v>18</v>
      </c>
      <c r="D58" t="s">
        <v>260</v>
      </c>
      <c r="E58" t="s">
        <v>201</v>
      </c>
      <c r="F58" t="s">
        <v>35</v>
      </c>
      <c r="G58" t="s">
        <v>261</v>
      </c>
      <c r="H58" s="7" t="s">
        <v>1271</v>
      </c>
      <c r="J58" t="s">
        <v>263</v>
      </c>
      <c r="K58" t="s">
        <v>149</v>
      </c>
      <c r="L58" t="s">
        <v>122</v>
      </c>
      <c r="M58" t="s">
        <v>27</v>
      </c>
      <c r="N58" t="s">
        <v>74</v>
      </c>
      <c r="O58" t="s">
        <v>29</v>
      </c>
      <c r="P58" t="s">
        <v>89</v>
      </c>
      <c r="Q58" t="s">
        <v>1100</v>
      </c>
      <c r="R58" s="7" t="s">
        <v>1154</v>
      </c>
      <c r="S58" s="7" t="s">
        <v>1181</v>
      </c>
      <c r="T58" s="5">
        <v>0.125</v>
      </c>
      <c r="U58" s="4" t="s">
        <v>1128</v>
      </c>
      <c r="V58" s="7" t="s">
        <v>1156</v>
      </c>
      <c r="X58" s="7" t="str">
        <f>_xlfn.XLOOKUP(H58, Sheet3!$E:$E, Sheet3!$B:$B, "")</f>
        <v>고등</v>
      </c>
      <c r="Y58" s="7" t="str">
        <f>_xlfn.XLOOKUP(H58, Sheet3!$E:$E, Sheet3!$C:$C, "")</f>
        <v>공통수학2</v>
      </c>
      <c r="Z58" s="7" t="str">
        <f>_xlfn.XLOOKUP(H58, Sheet3!$E:$E, Sheet3!$D:$D, "")</f>
        <v>홍진곤</v>
      </c>
    </row>
    <row r="59" spans="1:26" x14ac:dyDescent="0.25">
      <c r="A59" t="s">
        <v>259</v>
      </c>
      <c r="B59" t="s">
        <v>31</v>
      </c>
      <c r="C59" t="s">
        <v>18</v>
      </c>
      <c r="D59" t="s">
        <v>264</v>
      </c>
      <c r="E59" t="s">
        <v>201</v>
      </c>
      <c r="F59" t="s">
        <v>35</v>
      </c>
      <c r="G59" t="s">
        <v>261</v>
      </c>
      <c r="J59" t="s">
        <v>232</v>
      </c>
      <c r="K59" t="s">
        <v>149</v>
      </c>
      <c r="L59" t="s">
        <v>122</v>
      </c>
      <c r="M59" t="s">
        <v>27</v>
      </c>
      <c r="N59" t="s">
        <v>74</v>
      </c>
      <c r="O59" t="s">
        <v>29</v>
      </c>
      <c r="P59" t="s">
        <v>89</v>
      </c>
      <c r="X59" s="7">
        <f>_xlfn.XLOOKUP(H59, Sheet3!$E:$E, Sheet3!$B:$B, "")</f>
        <v>0</v>
      </c>
      <c r="Y59" s="7">
        <f>_xlfn.XLOOKUP(H59, Sheet3!$E:$E, Sheet3!$C:$C, "")</f>
        <v>0</v>
      </c>
      <c r="Z59" s="7">
        <f>_xlfn.XLOOKUP(H59, Sheet3!$E:$E, Sheet3!$D:$D, "")</f>
        <v>0</v>
      </c>
    </row>
    <row r="60" spans="1:26" x14ac:dyDescent="0.25">
      <c r="A60" t="s">
        <v>265</v>
      </c>
      <c r="B60" t="s">
        <v>17</v>
      </c>
      <c r="C60" t="s">
        <v>18</v>
      </c>
      <c r="D60" t="s">
        <v>266</v>
      </c>
      <c r="E60" t="s">
        <v>201</v>
      </c>
      <c r="F60" t="s">
        <v>35</v>
      </c>
      <c r="G60" t="s">
        <v>267</v>
      </c>
      <c r="H60" t="s">
        <v>268</v>
      </c>
      <c r="J60" t="s">
        <v>263</v>
      </c>
      <c r="K60" t="s">
        <v>149</v>
      </c>
      <c r="L60" t="s">
        <v>122</v>
      </c>
      <c r="M60" t="s">
        <v>27</v>
      </c>
      <c r="N60" t="s">
        <v>74</v>
      </c>
      <c r="O60" t="s">
        <v>29</v>
      </c>
      <c r="P60" t="s">
        <v>89</v>
      </c>
      <c r="Q60" t="s">
        <v>1100</v>
      </c>
      <c r="R60" s="7" t="s">
        <v>1154</v>
      </c>
      <c r="S60" s="7" t="s">
        <v>1179</v>
      </c>
      <c r="T60" s="5">
        <v>0.125</v>
      </c>
      <c r="U60" s="4" t="s">
        <v>1128</v>
      </c>
      <c r="V60" s="7" t="s">
        <v>1156</v>
      </c>
      <c r="X60" s="7" t="str">
        <f>_xlfn.XLOOKUP(H60, Sheet3!$E:$E, Sheet3!$B:$B, "")</f>
        <v>고등</v>
      </c>
      <c r="Y60" s="7" t="str">
        <f>_xlfn.XLOOKUP(H60, Sheet3!$E:$E, Sheet3!$C:$C, "")</f>
        <v>공통수학2</v>
      </c>
      <c r="Z60" s="7" t="str">
        <f>_xlfn.XLOOKUP(H60, Sheet3!$E:$E, Sheet3!$D:$D, "")</f>
        <v>전인태</v>
      </c>
    </row>
    <row r="61" spans="1:26" x14ac:dyDescent="0.25">
      <c r="A61" t="s">
        <v>265</v>
      </c>
      <c r="B61" t="s">
        <v>31</v>
      </c>
      <c r="C61" t="s">
        <v>18</v>
      </c>
      <c r="D61" t="s">
        <v>269</v>
      </c>
      <c r="E61" t="s">
        <v>201</v>
      </c>
      <c r="F61" t="s">
        <v>35</v>
      </c>
      <c r="G61" t="s">
        <v>267</v>
      </c>
      <c r="J61" t="s">
        <v>232</v>
      </c>
      <c r="K61" t="s">
        <v>149</v>
      </c>
      <c r="L61" t="s">
        <v>122</v>
      </c>
      <c r="M61" t="s">
        <v>27</v>
      </c>
      <c r="N61" t="s">
        <v>74</v>
      </c>
      <c r="O61" t="s">
        <v>29</v>
      </c>
      <c r="P61" t="s">
        <v>89</v>
      </c>
      <c r="X61" s="7">
        <f>_xlfn.XLOOKUP(H61, Sheet3!$E:$E, Sheet3!$B:$B, "")</f>
        <v>0</v>
      </c>
      <c r="Y61" s="7">
        <f>_xlfn.XLOOKUP(H61, Sheet3!$E:$E, Sheet3!$C:$C, "")</f>
        <v>0</v>
      </c>
      <c r="Z61" s="7">
        <f>_xlfn.XLOOKUP(H61, Sheet3!$E:$E, Sheet3!$D:$D, "")</f>
        <v>0</v>
      </c>
    </row>
    <row r="62" spans="1:26" x14ac:dyDescent="0.25">
      <c r="A62" t="s">
        <v>270</v>
      </c>
      <c r="B62" t="s">
        <v>17</v>
      </c>
      <c r="C62" t="s">
        <v>18</v>
      </c>
      <c r="D62" t="s">
        <v>271</v>
      </c>
      <c r="E62" t="s">
        <v>201</v>
      </c>
      <c r="F62" t="s">
        <v>35</v>
      </c>
      <c r="G62" t="s">
        <v>210</v>
      </c>
      <c r="H62" t="s">
        <v>272</v>
      </c>
      <c r="J62" t="s">
        <v>249</v>
      </c>
      <c r="K62" t="s">
        <v>149</v>
      </c>
      <c r="L62" t="s">
        <v>273</v>
      </c>
      <c r="M62" t="s">
        <v>27</v>
      </c>
      <c r="N62" t="s">
        <v>74</v>
      </c>
      <c r="O62" t="s">
        <v>29</v>
      </c>
      <c r="P62" t="s">
        <v>89</v>
      </c>
      <c r="Q62" t="s">
        <v>1100</v>
      </c>
      <c r="R62" s="7" t="s">
        <v>1154</v>
      </c>
      <c r="S62" s="7" t="s">
        <v>1174</v>
      </c>
      <c r="T62" s="5">
        <v>0.125</v>
      </c>
      <c r="U62" s="4" t="s">
        <v>1128</v>
      </c>
      <c r="V62" s="7" t="s">
        <v>1156</v>
      </c>
      <c r="X62" s="7" t="str">
        <f>_xlfn.XLOOKUP(H62, Sheet3!$E:$E, Sheet3!$B:$B, "")</f>
        <v>초등</v>
      </c>
      <c r="Y62" s="7" t="str">
        <f>_xlfn.XLOOKUP(H62, Sheet3!$E:$E, Sheet3!$C:$C, "")</f>
        <v>수학 4-1</v>
      </c>
      <c r="Z62" s="7" t="str">
        <f>_xlfn.XLOOKUP(H62, Sheet3!$E:$E, Sheet3!$D:$D, "")</f>
        <v>한대희</v>
      </c>
    </row>
    <row r="63" spans="1:26" x14ac:dyDescent="0.25">
      <c r="A63" t="s">
        <v>270</v>
      </c>
      <c r="B63" t="s">
        <v>31</v>
      </c>
      <c r="C63" t="s">
        <v>18</v>
      </c>
      <c r="D63" t="s">
        <v>274</v>
      </c>
      <c r="E63" t="s">
        <v>201</v>
      </c>
      <c r="F63" t="s">
        <v>35</v>
      </c>
      <c r="G63" t="s">
        <v>210</v>
      </c>
      <c r="J63" t="s">
        <v>275</v>
      </c>
      <c r="K63" t="s">
        <v>149</v>
      </c>
      <c r="L63" t="s">
        <v>273</v>
      </c>
      <c r="M63" t="s">
        <v>27</v>
      </c>
      <c r="N63" t="s">
        <v>74</v>
      </c>
      <c r="O63" t="s">
        <v>29</v>
      </c>
      <c r="P63" t="s">
        <v>89</v>
      </c>
      <c r="X63" s="7">
        <f>_xlfn.XLOOKUP(H63, Sheet3!$E:$E, Sheet3!$B:$B, "")</f>
        <v>0</v>
      </c>
      <c r="Y63" s="7">
        <f>_xlfn.XLOOKUP(H63, Sheet3!$E:$E, Sheet3!$C:$C, "")</f>
        <v>0</v>
      </c>
      <c r="Z63" s="7">
        <f>_xlfn.XLOOKUP(H63, Sheet3!$E:$E, Sheet3!$D:$D, "")</f>
        <v>0</v>
      </c>
    </row>
    <row r="64" spans="1:26" x14ac:dyDescent="0.25">
      <c r="A64" t="s">
        <v>276</v>
      </c>
      <c r="B64" t="s">
        <v>17</v>
      </c>
      <c r="C64" t="s">
        <v>18</v>
      </c>
      <c r="D64" t="s">
        <v>277</v>
      </c>
      <c r="E64" t="s">
        <v>201</v>
      </c>
      <c r="F64" t="s">
        <v>35</v>
      </c>
      <c r="G64" t="s">
        <v>223</v>
      </c>
      <c r="H64" t="s">
        <v>278</v>
      </c>
      <c r="J64" t="s">
        <v>279</v>
      </c>
      <c r="K64" t="s">
        <v>149</v>
      </c>
      <c r="L64" t="s">
        <v>280</v>
      </c>
      <c r="M64" t="s">
        <v>27</v>
      </c>
      <c r="N64" t="s">
        <v>74</v>
      </c>
      <c r="O64" t="s">
        <v>29</v>
      </c>
      <c r="P64" t="s">
        <v>89</v>
      </c>
      <c r="Q64" t="s">
        <v>1100</v>
      </c>
      <c r="R64" s="7" t="s">
        <v>1154</v>
      </c>
      <c r="S64" s="7" t="s">
        <v>1170</v>
      </c>
      <c r="T64" s="5">
        <v>0.125</v>
      </c>
      <c r="U64" s="4" t="s">
        <v>1128</v>
      </c>
      <c r="V64" s="7" t="s">
        <v>1156</v>
      </c>
      <c r="X64" s="7" t="str">
        <f>_xlfn.XLOOKUP(H64, Sheet3!$E:$E, Sheet3!$B:$B, "")</f>
        <v>초등</v>
      </c>
      <c r="Y64" s="7" t="str">
        <f>_xlfn.XLOOKUP(H64, Sheet3!$E:$E, Sheet3!$C:$C, "")</f>
        <v>수학 4-1</v>
      </c>
      <c r="Z64" s="7" t="str">
        <f>_xlfn.XLOOKUP(H64, Sheet3!$E:$E, Sheet3!$D:$D, "")</f>
        <v>박만구</v>
      </c>
    </row>
    <row r="65" spans="1:26" x14ac:dyDescent="0.25">
      <c r="A65" t="s">
        <v>276</v>
      </c>
      <c r="B65" t="s">
        <v>31</v>
      </c>
      <c r="C65" t="s">
        <v>18</v>
      </c>
      <c r="D65" t="s">
        <v>281</v>
      </c>
      <c r="E65" t="s">
        <v>201</v>
      </c>
      <c r="F65" t="s">
        <v>35</v>
      </c>
      <c r="G65" t="s">
        <v>223</v>
      </c>
      <c r="J65" t="s">
        <v>282</v>
      </c>
      <c r="K65" t="s">
        <v>149</v>
      </c>
      <c r="L65" t="s">
        <v>280</v>
      </c>
      <c r="M65" t="s">
        <v>27</v>
      </c>
      <c r="N65" t="s">
        <v>74</v>
      </c>
      <c r="O65" t="s">
        <v>29</v>
      </c>
      <c r="P65" t="s">
        <v>89</v>
      </c>
      <c r="X65" s="7">
        <f>_xlfn.XLOOKUP(H65, Sheet3!$E:$E, Sheet3!$B:$B, "")</f>
        <v>0</v>
      </c>
      <c r="Y65" s="7">
        <f>_xlfn.XLOOKUP(H65, Sheet3!$E:$E, Sheet3!$C:$C, "")</f>
        <v>0</v>
      </c>
      <c r="Z65" s="7">
        <f>_xlfn.XLOOKUP(H65, Sheet3!$E:$E, Sheet3!$D:$D, "")</f>
        <v>0</v>
      </c>
    </row>
    <row r="66" spans="1:26" x14ac:dyDescent="0.25">
      <c r="A66" t="s">
        <v>283</v>
      </c>
      <c r="B66" t="s">
        <v>17</v>
      </c>
      <c r="C66" t="s">
        <v>18</v>
      </c>
      <c r="D66" t="s">
        <v>284</v>
      </c>
      <c r="E66" t="s">
        <v>201</v>
      </c>
      <c r="F66" t="s">
        <v>35</v>
      </c>
      <c r="G66" t="s">
        <v>285</v>
      </c>
      <c r="H66" t="s">
        <v>286</v>
      </c>
      <c r="J66" t="s">
        <v>287</v>
      </c>
      <c r="K66" t="s">
        <v>149</v>
      </c>
      <c r="L66" t="s">
        <v>122</v>
      </c>
      <c r="M66" t="s">
        <v>27</v>
      </c>
      <c r="N66" t="s">
        <v>74</v>
      </c>
      <c r="O66" t="s">
        <v>29</v>
      </c>
      <c r="P66" t="s">
        <v>89</v>
      </c>
      <c r="Q66" t="s">
        <v>1100</v>
      </c>
      <c r="R66" s="7" t="s">
        <v>1154</v>
      </c>
      <c r="S66" s="7" t="s">
        <v>1167</v>
      </c>
      <c r="T66" s="5">
        <v>0.125</v>
      </c>
      <c r="U66" s="4" t="s">
        <v>1128</v>
      </c>
      <c r="V66" s="7" t="s">
        <v>1156</v>
      </c>
      <c r="X66" s="7" t="str">
        <f>_xlfn.XLOOKUP(H66, Sheet3!$E:$E, Sheet3!$B:$B, "")</f>
        <v>고등</v>
      </c>
      <c r="Y66" s="7" t="str">
        <f>_xlfn.XLOOKUP(H66, Sheet3!$E:$E, Sheet3!$C:$C, "")</f>
        <v>공통영어 2</v>
      </c>
      <c r="Z66" s="7" t="str">
        <f>_xlfn.XLOOKUP(H66, Sheet3!$E:$E, Sheet3!$D:$D, "")</f>
        <v>조수경</v>
      </c>
    </row>
    <row r="67" spans="1:26" x14ac:dyDescent="0.25">
      <c r="A67" t="s">
        <v>283</v>
      </c>
      <c r="B67" t="s">
        <v>31</v>
      </c>
      <c r="C67" t="s">
        <v>18</v>
      </c>
      <c r="D67" t="s">
        <v>288</v>
      </c>
      <c r="E67" t="s">
        <v>201</v>
      </c>
      <c r="F67" t="s">
        <v>35</v>
      </c>
      <c r="G67" t="s">
        <v>285</v>
      </c>
      <c r="J67" t="s">
        <v>289</v>
      </c>
      <c r="K67" t="s">
        <v>149</v>
      </c>
      <c r="L67" t="s">
        <v>122</v>
      </c>
      <c r="M67" t="s">
        <v>27</v>
      </c>
      <c r="N67" t="s">
        <v>74</v>
      </c>
      <c r="O67" t="s">
        <v>29</v>
      </c>
      <c r="P67" t="s">
        <v>89</v>
      </c>
      <c r="X67" s="7">
        <f>_xlfn.XLOOKUP(H67, Sheet3!$E:$E, Sheet3!$B:$B, "")</f>
        <v>0</v>
      </c>
      <c r="Y67" s="7">
        <f>_xlfn.XLOOKUP(H67, Sheet3!$E:$E, Sheet3!$C:$C, "")</f>
        <v>0</v>
      </c>
      <c r="Z67" s="7">
        <f>_xlfn.XLOOKUP(H67, Sheet3!$E:$E, Sheet3!$D:$D, "")</f>
        <v>0</v>
      </c>
    </row>
    <row r="68" spans="1:26" x14ac:dyDescent="0.25">
      <c r="A68" t="s">
        <v>290</v>
      </c>
      <c r="B68" t="s">
        <v>17</v>
      </c>
      <c r="C68" t="s">
        <v>18</v>
      </c>
      <c r="D68" t="s">
        <v>291</v>
      </c>
      <c r="E68" t="s">
        <v>201</v>
      </c>
      <c r="F68" t="s">
        <v>35</v>
      </c>
      <c r="G68" t="s">
        <v>292</v>
      </c>
      <c r="H68" t="s">
        <v>293</v>
      </c>
      <c r="J68" t="s">
        <v>287</v>
      </c>
      <c r="K68" t="s">
        <v>149</v>
      </c>
      <c r="L68" t="s">
        <v>122</v>
      </c>
      <c r="M68" t="s">
        <v>27</v>
      </c>
      <c r="N68" t="s">
        <v>74</v>
      </c>
      <c r="O68" t="s">
        <v>29</v>
      </c>
      <c r="P68" t="s">
        <v>89</v>
      </c>
      <c r="Q68" t="s">
        <v>1100</v>
      </c>
      <c r="R68" s="7" t="s">
        <v>1154</v>
      </c>
      <c r="S68" s="7" t="s">
        <v>1165</v>
      </c>
      <c r="T68" s="5">
        <v>0.125</v>
      </c>
      <c r="U68" s="4" t="s">
        <v>1128</v>
      </c>
      <c r="V68" s="7" t="s">
        <v>1156</v>
      </c>
      <c r="X68" s="7" t="str">
        <f>_xlfn.XLOOKUP(H68, Sheet3!$E:$E, Sheet3!$B:$B, "")</f>
        <v>고등</v>
      </c>
      <c r="Y68" s="7" t="str">
        <f>_xlfn.XLOOKUP(H68, Sheet3!$E:$E, Sheet3!$C:$C, "")</f>
        <v>공통영어 2</v>
      </c>
      <c r="Z68" s="7" t="str">
        <f>_xlfn.XLOOKUP(H68, Sheet3!$E:$E, Sheet3!$D:$D, "")</f>
        <v>강상구</v>
      </c>
    </row>
    <row r="69" spans="1:26" x14ac:dyDescent="0.25">
      <c r="A69" t="s">
        <v>290</v>
      </c>
      <c r="B69" t="s">
        <v>31</v>
      </c>
      <c r="C69" t="s">
        <v>18</v>
      </c>
      <c r="D69" t="s">
        <v>294</v>
      </c>
      <c r="E69" t="s">
        <v>201</v>
      </c>
      <c r="F69" t="s">
        <v>35</v>
      </c>
      <c r="G69" t="s">
        <v>292</v>
      </c>
      <c r="J69" t="s">
        <v>289</v>
      </c>
      <c r="K69" t="s">
        <v>149</v>
      </c>
      <c r="L69" t="s">
        <v>122</v>
      </c>
      <c r="M69" t="s">
        <v>27</v>
      </c>
      <c r="N69" t="s">
        <v>74</v>
      </c>
      <c r="O69" t="s">
        <v>29</v>
      </c>
      <c r="P69" t="s">
        <v>89</v>
      </c>
      <c r="X69" s="7">
        <f>_xlfn.XLOOKUP(H69, Sheet3!$E:$E, Sheet3!$B:$B, "")</f>
        <v>0</v>
      </c>
      <c r="Y69" s="7">
        <f>_xlfn.XLOOKUP(H69, Sheet3!$E:$E, Sheet3!$C:$C, "")</f>
        <v>0</v>
      </c>
      <c r="Z69" s="7">
        <f>_xlfn.XLOOKUP(H69, Sheet3!$E:$E, Sheet3!$D:$D, "")</f>
        <v>0</v>
      </c>
    </row>
    <row r="70" spans="1:26" x14ac:dyDescent="0.25">
      <c r="A70" t="s">
        <v>295</v>
      </c>
      <c r="B70" t="s">
        <v>17</v>
      </c>
      <c r="C70" t="s">
        <v>18</v>
      </c>
      <c r="D70" t="s">
        <v>296</v>
      </c>
      <c r="E70" t="s">
        <v>201</v>
      </c>
      <c r="F70" t="s">
        <v>35</v>
      </c>
      <c r="G70" t="s">
        <v>297</v>
      </c>
      <c r="H70" t="s">
        <v>298</v>
      </c>
      <c r="J70" t="s">
        <v>237</v>
      </c>
      <c r="K70" t="s">
        <v>149</v>
      </c>
      <c r="L70" t="s">
        <v>299</v>
      </c>
      <c r="M70" t="s">
        <v>27</v>
      </c>
      <c r="N70" t="s">
        <v>74</v>
      </c>
      <c r="O70" t="s">
        <v>29</v>
      </c>
      <c r="P70" t="s">
        <v>89</v>
      </c>
      <c r="Q70" t="s">
        <v>1100</v>
      </c>
      <c r="R70" s="7" t="s">
        <v>1154</v>
      </c>
      <c r="S70" s="7" t="s">
        <v>1161</v>
      </c>
      <c r="T70" s="5">
        <v>0.125</v>
      </c>
      <c r="U70" s="4" t="s">
        <v>1128</v>
      </c>
      <c r="V70" s="7" t="s">
        <v>1156</v>
      </c>
      <c r="X70" s="7" t="str">
        <f>_xlfn.XLOOKUP(H70, Sheet3!$E:$E, Sheet3!$B:$B, "")</f>
        <v>초등</v>
      </c>
      <c r="Y70" s="7" t="str">
        <f>_xlfn.XLOOKUP(H70, Sheet3!$E:$E, Sheet3!$C:$C, "")</f>
        <v>영어 4</v>
      </c>
      <c r="Z70" s="7" t="str">
        <f>_xlfn.XLOOKUP(H70, Sheet3!$E:$E, Sheet3!$D:$D, "")</f>
        <v>함순애</v>
      </c>
    </row>
    <row r="71" spans="1:26" x14ac:dyDescent="0.25">
      <c r="A71" t="s">
        <v>295</v>
      </c>
      <c r="B71" t="s">
        <v>31</v>
      </c>
      <c r="C71" t="s">
        <v>18</v>
      </c>
      <c r="D71" t="s">
        <v>300</v>
      </c>
      <c r="E71" t="s">
        <v>201</v>
      </c>
      <c r="F71" t="s">
        <v>35</v>
      </c>
      <c r="G71" t="s">
        <v>297</v>
      </c>
      <c r="J71" t="s">
        <v>301</v>
      </c>
      <c r="K71" t="s">
        <v>149</v>
      </c>
      <c r="L71" t="s">
        <v>273</v>
      </c>
      <c r="M71" t="s">
        <v>27</v>
      </c>
      <c r="N71" t="s">
        <v>74</v>
      </c>
      <c r="O71" t="s">
        <v>29</v>
      </c>
      <c r="P71" t="s">
        <v>89</v>
      </c>
      <c r="X71" s="7">
        <f>_xlfn.XLOOKUP(H71, Sheet3!$E:$E, Sheet3!$B:$B, "")</f>
        <v>0</v>
      </c>
      <c r="Y71" s="7">
        <f>_xlfn.XLOOKUP(H71, Sheet3!$E:$E, Sheet3!$C:$C, "")</f>
        <v>0</v>
      </c>
      <c r="Z71" s="7">
        <f>_xlfn.XLOOKUP(H71, Sheet3!$E:$E, Sheet3!$D:$D, "")</f>
        <v>0</v>
      </c>
    </row>
    <row r="72" spans="1:26" x14ac:dyDescent="0.25">
      <c r="A72" t="s">
        <v>302</v>
      </c>
      <c r="B72" t="s">
        <v>17</v>
      </c>
      <c r="C72" t="s">
        <v>18</v>
      </c>
      <c r="D72" t="s">
        <v>303</v>
      </c>
      <c r="E72" t="s">
        <v>201</v>
      </c>
      <c r="F72" t="s">
        <v>35</v>
      </c>
      <c r="G72" t="s">
        <v>304</v>
      </c>
      <c r="H72" t="s">
        <v>305</v>
      </c>
      <c r="J72" t="s">
        <v>306</v>
      </c>
      <c r="K72" t="s">
        <v>149</v>
      </c>
      <c r="L72" t="s">
        <v>307</v>
      </c>
      <c r="M72" t="s">
        <v>27</v>
      </c>
      <c r="N72" t="s">
        <v>74</v>
      </c>
      <c r="O72" t="s">
        <v>29</v>
      </c>
      <c r="P72" t="s">
        <v>308</v>
      </c>
      <c r="Q72" t="s">
        <v>1100</v>
      </c>
      <c r="R72" s="7" t="s">
        <v>1154</v>
      </c>
      <c r="S72" s="7" t="s">
        <v>1159</v>
      </c>
      <c r="T72" s="5">
        <v>0.125</v>
      </c>
      <c r="U72" s="4" t="s">
        <v>1128</v>
      </c>
      <c r="V72" s="7" t="s">
        <v>1156</v>
      </c>
      <c r="X72" s="7" t="str">
        <f>_xlfn.XLOOKUP(H72, Sheet3!$E:$E, Sheet3!$B:$B, "")</f>
        <v>초등</v>
      </c>
      <c r="Y72" s="7" t="str">
        <f>_xlfn.XLOOKUP(H72, Sheet3!$E:$E, Sheet3!$C:$C, "")</f>
        <v>영어 4</v>
      </c>
      <c r="Z72" s="7" t="str">
        <f>_xlfn.XLOOKUP(H72, Sheet3!$E:$E, Sheet3!$D:$D, "")</f>
        <v>김태은</v>
      </c>
    </row>
    <row r="73" spans="1:26" x14ac:dyDescent="0.25">
      <c r="A73" t="s">
        <v>302</v>
      </c>
      <c r="B73" t="s">
        <v>31</v>
      </c>
      <c r="C73" t="s">
        <v>18</v>
      </c>
      <c r="D73" t="s">
        <v>309</v>
      </c>
      <c r="E73" t="s">
        <v>201</v>
      </c>
      <c r="F73" t="s">
        <v>35</v>
      </c>
      <c r="G73" t="s">
        <v>304</v>
      </c>
      <c r="J73" t="s">
        <v>282</v>
      </c>
      <c r="K73" t="s">
        <v>149</v>
      </c>
      <c r="L73" t="s">
        <v>307</v>
      </c>
      <c r="M73" t="s">
        <v>27</v>
      </c>
      <c r="N73" t="s">
        <v>74</v>
      </c>
      <c r="O73" t="s">
        <v>29</v>
      </c>
      <c r="P73" t="s">
        <v>308</v>
      </c>
      <c r="X73" s="7">
        <f>_xlfn.XLOOKUP(H73, Sheet3!$E:$E, Sheet3!$B:$B, "")</f>
        <v>0</v>
      </c>
      <c r="Y73" s="7">
        <f>_xlfn.XLOOKUP(H73, Sheet3!$E:$E, Sheet3!$C:$C, "")</f>
        <v>0</v>
      </c>
      <c r="Z73" s="7">
        <f>_xlfn.XLOOKUP(H73, Sheet3!$E:$E, Sheet3!$D:$D, "")</f>
        <v>0</v>
      </c>
    </row>
    <row r="74" spans="1:26" x14ac:dyDescent="0.25">
      <c r="A74" t="s">
        <v>310</v>
      </c>
      <c r="B74" t="s">
        <v>17</v>
      </c>
      <c r="C74" t="s">
        <v>18</v>
      </c>
      <c r="D74" t="s">
        <v>311</v>
      </c>
      <c r="E74" t="s">
        <v>201</v>
      </c>
      <c r="F74" t="s">
        <v>35</v>
      </c>
      <c r="G74" t="s">
        <v>71</v>
      </c>
      <c r="H74" t="s">
        <v>312</v>
      </c>
      <c r="J74" t="s">
        <v>287</v>
      </c>
      <c r="K74" t="s">
        <v>149</v>
      </c>
      <c r="L74" t="s">
        <v>122</v>
      </c>
      <c r="M74" t="s">
        <v>27</v>
      </c>
      <c r="N74" t="s">
        <v>74</v>
      </c>
      <c r="O74" t="s">
        <v>29</v>
      </c>
      <c r="P74" t="s">
        <v>313</v>
      </c>
      <c r="Q74" t="s">
        <v>1100</v>
      </c>
      <c r="R74" s="7" t="s">
        <v>1154</v>
      </c>
      <c r="S74" s="7" t="s">
        <v>1157</v>
      </c>
      <c r="T74" s="5">
        <v>0.125</v>
      </c>
      <c r="U74" s="4" t="s">
        <v>1128</v>
      </c>
      <c r="V74" s="7" t="s">
        <v>1156</v>
      </c>
      <c r="X74" s="7" t="str">
        <f>_xlfn.XLOOKUP(H74, Sheet3!$E:$E, Sheet3!$B:$B, "")</f>
        <v>초등</v>
      </c>
      <c r="Y74" s="7" t="str">
        <f>_xlfn.XLOOKUP(H74, Sheet3!$E:$E, Sheet3!$C:$C, "")</f>
        <v>영어 4</v>
      </c>
      <c r="Z74" s="7" t="str">
        <f>_xlfn.XLOOKUP(H74, Sheet3!$E:$E, Sheet3!$D:$D, "")</f>
        <v>이동환</v>
      </c>
    </row>
    <row r="75" spans="1:26" x14ac:dyDescent="0.25">
      <c r="A75" t="s">
        <v>310</v>
      </c>
      <c r="B75" t="s">
        <v>31</v>
      </c>
      <c r="C75" t="s">
        <v>18</v>
      </c>
      <c r="D75" t="s">
        <v>314</v>
      </c>
      <c r="E75" t="s">
        <v>201</v>
      </c>
      <c r="F75" t="s">
        <v>35</v>
      </c>
      <c r="G75" t="s">
        <v>71</v>
      </c>
      <c r="J75" t="s">
        <v>315</v>
      </c>
      <c r="K75" t="s">
        <v>149</v>
      </c>
      <c r="L75" t="s">
        <v>122</v>
      </c>
      <c r="M75" t="s">
        <v>27</v>
      </c>
      <c r="N75" t="s">
        <v>74</v>
      </c>
      <c r="O75" t="s">
        <v>29</v>
      </c>
      <c r="P75" t="s">
        <v>313</v>
      </c>
      <c r="X75" s="7">
        <f>_xlfn.XLOOKUP(H75, Sheet3!$E:$E, Sheet3!$B:$B, "")</f>
        <v>0</v>
      </c>
      <c r="Y75" s="7">
        <f>_xlfn.XLOOKUP(H75, Sheet3!$E:$E, Sheet3!$C:$C, "")</f>
        <v>0</v>
      </c>
      <c r="Z75" s="7">
        <f>_xlfn.XLOOKUP(H75, Sheet3!$E:$E, Sheet3!$D:$D, "")</f>
        <v>0</v>
      </c>
    </row>
    <row r="76" spans="1:26" x14ac:dyDescent="0.25">
      <c r="A76" t="s">
        <v>316</v>
      </c>
      <c r="B76" t="s">
        <v>17</v>
      </c>
      <c r="C76" t="s">
        <v>18</v>
      </c>
      <c r="D76" t="s">
        <v>317</v>
      </c>
      <c r="E76" t="s">
        <v>201</v>
      </c>
      <c r="F76" t="s">
        <v>35</v>
      </c>
      <c r="G76" t="s">
        <v>318</v>
      </c>
      <c r="H76" t="s">
        <v>319</v>
      </c>
      <c r="J76" t="s">
        <v>249</v>
      </c>
      <c r="K76" t="s">
        <v>149</v>
      </c>
      <c r="L76" t="s">
        <v>299</v>
      </c>
      <c r="M76" t="s">
        <v>27</v>
      </c>
      <c r="N76" t="s">
        <v>74</v>
      </c>
      <c r="O76" t="s">
        <v>29</v>
      </c>
      <c r="P76" t="s">
        <v>89</v>
      </c>
      <c r="Q76" s="7" t="s">
        <v>1088</v>
      </c>
      <c r="R76" s="7" t="s">
        <v>1125</v>
      </c>
      <c r="S76" s="7" t="s">
        <v>1153</v>
      </c>
      <c r="T76" s="5">
        <v>0.125</v>
      </c>
      <c r="U76" s="4" t="s">
        <v>1128</v>
      </c>
      <c r="V76" s="7" t="s">
        <v>1127</v>
      </c>
      <c r="X76" s="7" t="str">
        <f>_xlfn.XLOOKUP(H76, Sheet3!$E:$E, Sheet3!$B:$B, "")</f>
        <v>고등</v>
      </c>
      <c r="Y76" s="7" t="str">
        <f>_xlfn.XLOOKUP(H76, Sheet3!$E:$E, Sheet3!$C:$C, "")</f>
        <v>공통수학2</v>
      </c>
      <c r="Z76" s="7" t="str">
        <f>_xlfn.XLOOKUP(H76, Sheet3!$E:$E, Sheet3!$D:$D, "")</f>
        <v>홍진곤</v>
      </c>
    </row>
    <row r="77" spans="1:26" x14ac:dyDescent="0.25">
      <c r="A77" t="s">
        <v>316</v>
      </c>
      <c r="B77" t="s">
        <v>31</v>
      </c>
      <c r="C77" t="s">
        <v>18</v>
      </c>
      <c r="D77" t="s">
        <v>320</v>
      </c>
      <c r="E77" t="s">
        <v>201</v>
      </c>
      <c r="F77" t="s">
        <v>35</v>
      </c>
      <c r="G77" t="s">
        <v>318</v>
      </c>
      <c r="J77" t="s">
        <v>275</v>
      </c>
      <c r="K77" t="s">
        <v>149</v>
      </c>
      <c r="L77" t="s">
        <v>273</v>
      </c>
      <c r="M77" t="s">
        <v>27</v>
      </c>
      <c r="N77" t="s">
        <v>74</v>
      </c>
      <c r="O77" t="s">
        <v>29</v>
      </c>
      <c r="P77" t="s">
        <v>89</v>
      </c>
      <c r="X77" s="7">
        <f>_xlfn.XLOOKUP(H77, Sheet3!$E:$E, Sheet3!$B:$B, "")</f>
        <v>0</v>
      </c>
      <c r="Y77" s="7">
        <f>_xlfn.XLOOKUP(H77, Sheet3!$E:$E, Sheet3!$C:$C, "")</f>
        <v>0</v>
      </c>
      <c r="Z77" s="7">
        <f>_xlfn.XLOOKUP(H77, Sheet3!$E:$E, Sheet3!$D:$D, "")</f>
        <v>0</v>
      </c>
    </row>
    <row r="78" spans="1:26" x14ac:dyDescent="0.25">
      <c r="A78" t="s">
        <v>321</v>
      </c>
      <c r="B78" t="s">
        <v>17</v>
      </c>
      <c r="C78" t="s">
        <v>18</v>
      </c>
      <c r="D78" t="s">
        <v>322</v>
      </c>
      <c r="E78" t="s">
        <v>201</v>
      </c>
      <c r="F78" t="s">
        <v>35</v>
      </c>
      <c r="G78" t="s">
        <v>323</v>
      </c>
      <c r="H78" t="s">
        <v>324</v>
      </c>
      <c r="J78" t="s">
        <v>249</v>
      </c>
      <c r="K78" t="s">
        <v>149</v>
      </c>
      <c r="L78" t="s">
        <v>273</v>
      </c>
      <c r="M78" t="s">
        <v>27</v>
      </c>
      <c r="N78" t="s">
        <v>74</v>
      </c>
      <c r="O78" t="s">
        <v>29</v>
      </c>
      <c r="P78" t="s">
        <v>89</v>
      </c>
      <c r="Q78" s="7" t="s">
        <v>1088</v>
      </c>
      <c r="R78" s="7" t="s">
        <v>1125</v>
      </c>
      <c r="S78" s="7" t="s">
        <v>1151</v>
      </c>
      <c r="T78" s="5">
        <v>0.125</v>
      </c>
      <c r="U78" s="4" t="s">
        <v>1128</v>
      </c>
      <c r="V78" s="7" t="s">
        <v>1127</v>
      </c>
      <c r="X78" s="7" t="str">
        <f>_xlfn.XLOOKUP(H78, Sheet3!$E:$E, Sheet3!$B:$B, "")</f>
        <v>고등</v>
      </c>
      <c r="Y78" s="7" t="str">
        <f>_xlfn.XLOOKUP(H78, Sheet3!$E:$E, Sheet3!$C:$C, "")</f>
        <v>공통수학2</v>
      </c>
      <c r="Z78" s="7" t="str">
        <f>_xlfn.XLOOKUP(H78, Sheet3!$E:$E, Sheet3!$D:$D, "")</f>
        <v>전인태</v>
      </c>
    </row>
    <row r="79" spans="1:26" x14ac:dyDescent="0.25">
      <c r="A79" t="s">
        <v>321</v>
      </c>
      <c r="B79" t="s">
        <v>31</v>
      </c>
      <c r="C79" t="s">
        <v>18</v>
      </c>
      <c r="D79" t="s">
        <v>325</v>
      </c>
      <c r="E79" t="s">
        <v>201</v>
      </c>
      <c r="F79" t="s">
        <v>35</v>
      </c>
      <c r="G79" t="s">
        <v>323</v>
      </c>
      <c r="J79" t="s">
        <v>275</v>
      </c>
      <c r="K79" t="s">
        <v>149</v>
      </c>
      <c r="L79" t="s">
        <v>226</v>
      </c>
      <c r="M79" t="s">
        <v>27</v>
      </c>
      <c r="N79" t="s">
        <v>74</v>
      </c>
      <c r="O79" t="s">
        <v>29</v>
      </c>
      <c r="P79" t="s">
        <v>89</v>
      </c>
      <c r="X79" s="7">
        <f>_xlfn.XLOOKUP(H79, Sheet3!$E:$E, Sheet3!$B:$B, "")</f>
        <v>0</v>
      </c>
      <c r="Y79" s="7">
        <f>_xlfn.XLOOKUP(H79, Sheet3!$E:$E, Sheet3!$C:$C, "")</f>
        <v>0</v>
      </c>
      <c r="Z79" s="7">
        <f>_xlfn.XLOOKUP(H79, Sheet3!$E:$E, Sheet3!$D:$D, "")</f>
        <v>0</v>
      </c>
    </row>
    <row r="80" spans="1:26" x14ac:dyDescent="0.25">
      <c r="A80" t="s">
        <v>326</v>
      </c>
      <c r="B80" t="s">
        <v>17</v>
      </c>
      <c r="C80" t="s">
        <v>18</v>
      </c>
      <c r="D80" t="s">
        <v>327</v>
      </c>
      <c r="E80" t="s">
        <v>201</v>
      </c>
      <c r="F80" t="s">
        <v>35</v>
      </c>
      <c r="G80" t="s">
        <v>235</v>
      </c>
      <c r="H80" t="s">
        <v>328</v>
      </c>
      <c r="J80" t="s">
        <v>329</v>
      </c>
      <c r="K80" t="s">
        <v>149</v>
      </c>
      <c r="L80" t="s">
        <v>330</v>
      </c>
      <c r="M80" t="s">
        <v>27</v>
      </c>
      <c r="N80" t="s">
        <v>74</v>
      </c>
      <c r="O80" t="s">
        <v>29</v>
      </c>
      <c r="P80" t="s">
        <v>89</v>
      </c>
      <c r="Q80" s="7" t="s">
        <v>1088</v>
      </c>
      <c r="R80" s="7" t="s">
        <v>1125</v>
      </c>
      <c r="S80" s="7" t="s">
        <v>1146</v>
      </c>
      <c r="T80" s="5">
        <v>0.125</v>
      </c>
      <c r="U80" s="4" t="s">
        <v>1128</v>
      </c>
      <c r="V80" s="7" t="s">
        <v>1127</v>
      </c>
      <c r="X80" s="7" t="str">
        <f>_xlfn.XLOOKUP(H80, Sheet3!$E:$E, Sheet3!$B:$B, "")</f>
        <v>초등</v>
      </c>
      <c r="Y80" s="7" t="str">
        <f>_xlfn.XLOOKUP(H80, Sheet3!$E:$E, Sheet3!$C:$C, "")</f>
        <v>수학 4-1</v>
      </c>
      <c r="Z80" s="7" t="str">
        <f>_xlfn.XLOOKUP(H80, Sheet3!$E:$E, Sheet3!$D:$D, "")</f>
        <v>한대희</v>
      </c>
    </row>
    <row r="81" spans="1:26" x14ac:dyDescent="0.25">
      <c r="A81" t="s">
        <v>326</v>
      </c>
      <c r="B81" t="s">
        <v>31</v>
      </c>
      <c r="C81" t="s">
        <v>18</v>
      </c>
      <c r="D81" t="s">
        <v>331</v>
      </c>
      <c r="E81" t="s">
        <v>201</v>
      </c>
      <c r="F81" t="s">
        <v>35</v>
      </c>
      <c r="G81" t="s">
        <v>235</v>
      </c>
      <c r="J81" t="s">
        <v>275</v>
      </c>
      <c r="K81" t="s">
        <v>149</v>
      </c>
      <c r="L81" t="s">
        <v>330</v>
      </c>
      <c r="M81" t="s">
        <v>27</v>
      </c>
      <c r="N81" t="s">
        <v>74</v>
      </c>
      <c r="O81" t="s">
        <v>29</v>
      </c>
      <c r="P81" t="s">
        <v>89</v>
      </c>
      <c r="X81" s="7">
        <f>_xlfn.XLOOKUP(H81, Sheet3!$E:$E, Sheet3!$B:$B, "")</f>
        <v>0</v>
      </c>
      <c r="Y81" s="7">
        <f>_xlfn.XLOOKUP(H81, Sheet3!$E:$E, Sheet3!$C:$C, "")</f>
        <v>0</v>
      </c>
      <c r="Z81" s="7">
        <f>_xlfn.XLOOKUP(H81, Sheet3!$E:$E, Sheet3!$D:$D, "")</f>
        <v>0</v>
      </c>
    </row>
    <row r="82" spans="1:26" x14ac:dyDescent="0.25">
      <c r="A82" t="s">
        <v>332</v>
      </c>
      <c r="B82" t="s">
        <v>17</v>
      </c>
      <c r="C82" t="s">
        <v>18</v>
      </c>
      <c r="D82" t="s">
        <v>333</v>
      </c>
      <c r="E82" t="s">
        <v>201</v>
      </c>
      <c r="F82" t="s">
        <v>35</v>
      </c>
      <c r="G82" t="s">
        <v>202</v>
      </c>
      <c r="H82" t="s">
        <v>334</v>
      </c>
      <c r="J82" t="s">
        <v>335</v>
      </c>
      <c r="K82" t="s">
        <v>149</v>
      </c>
      <c r="L82" t="s">
        <v>336</v>
      </c>
      <c r="M82" t="s">
        <v>27</v>
      </c>
      <c r="N82" t="s">
        <v>74</v>
      </c>
      <c r="O82" t="s">
        <v>29</v>
      </c>
      <c r="P82" t="s">
        <v>89</v>
      </c>
      <c r="Q82" s="7" t="s">
        <v>1088</v>
      </c>
      <c r="R82" s="7" t="s">
        <v>1125</v>
      </c>
      <c r="S82" s="7" t="s">
        <v>1142</v>
      </c>
      <c r="T82" s="5">
        <v>0.125</v>
      </c>
      <c r="U82" s="4" t="s">
        <v>1128</v>
      </c>
      <c r="V82" s="7" t="s">
        <v>1127</v>
      </c>
      <c r="X82" s="7" t="str">
        <f>_xlfn.XLOOKUP(H82, Sheet3!$E:$E, Sheet3!$B:$B, "")</f>
        <v>초등</v>
      </c>
      <c r="Y82" s="7" t="str">
        <f>_xlfn.XLOOKUP(H82, Sheet3!$E:$E, Sheet3!$C:$C, "")</f>
        <v>수학 4-1</v>
      </c>
      <c r="Z82" s="7" t="str">
        <f>_xlfn.XLOOKUP(H82, Sheet3!$E:$E, Sheet3!$D:$D, "")</f>
        <v>박만구</v>
      </c>
    </row>
    <row r="83" spans="1:26" x14ac:dyDescent="0.25">
      <c r="A83" t="s">
        <v>332</v>
      </c>
      <c r="B83" t="s">
        <v>31</v>
      </c>
      <c r="C83" t="s">
        <v>18</v>
      </c>
      <c r="D83" t="s">
        <v>337</v>
      </c>
      <c r="E83" t="s">
        <v>201</v>
      </c>
      <c r="F83" t="s">
        <v>35</v>
      </c>
      <c r="G83" t="s">
        <v>202</v>
      </c>
      <c r="J83" t="s">
        <v>338</v>
      </c>
      <c r="K83" t="s">
        <v>149</v>
      </c>
      <c r="L83" t="s">
        <v>336</v>
      </c>
      <c r="M83" t="s">
        <v>27</v>
      </c>
      <c r="N83" t="s">
        <v>74</v>
      </c>
      <c r="O83" t="s">
        <v>29</v>
      </c>
      <c r="P83" t="s">
        <v>89</v>
      </c>
      <c r="X83" s="7">
        <f>_xlfn.XLOOKUP(H83, Sheet3!$E:$E, Sheet3!$B:$B, "")</f>
        <v>0</v>
      </c>
      <c r="Y83" s="7">
        <f>_xlfn.XLOOKUP(H83, Sheet3!$E:$E, Sheet3!$C:$C, "")</f>
        <v>0</v>
      </c>
      <c r="Z83" s="7">
        <f>_xlfn.XLOOKUP(H83, Sheet3!$E:$E, Sheet3!$D:$D, "")</f>
        <v>0</v>
      </c>
    </row>
    <row r="84" spans="1:26" x14ac:dyDescent="0.25">
      <c r="A84" t="s">
        <v>339</v>
      </c>
      <c r="B84" t="s">
        <v>17</v>
      </c>
      <c r="C84" t="s">
        <v>18</v>
      </c>
      <c r="D84" t="s">
        <v>340</v>
      </c>
      <c r="E84" t="s">
        <v>201</v>
      </c>
      <c r="F84" t="s">
        <v>35</v>
      </c>
      <c r="G84" t="s">
        <v>341</v>
      </c>
      <c r="H84" t="s">
        <v>1184</v>
      </c>
      <c r="J84" t="s">
        <v>287</v>
      </c>
      <c r="K84" t="s">
        <v>149</v>
      </c>
      <c r="L84" t="s">
        <v>307</v>
      </c>
      <c r="M84" t="s">
        <v>27</v>
      </c>
      <c r="N84" t="s">
        <v>74</v>
      </c>
      <c r="O84" t="s">
        <v>29</v>
      </c>
      <c r="P84" t="s">
        <v>89</v>
      </c>
      <c r="Q84" s="7" t="s">
        <v>1088</v>
      </c>
      <c r="R84" s="7" t="s">
        <v>1125</v>
      </c>
      <c r="S84" s="7" t="s">
        <v>1139</v>
      </c>
      <c r="T84" s="5">
        <v>0.125</v>
      </c>
      <c r="U84" s="4" t="s">
        <v>1128</v>
      </c>
      <c r="V84" s="7" t="s">
        <v>1127</v>
      </c>
      <c r="X84" s="7" t="str">
        <f>_xlfn.XLOOKUP(H84, Sheet3!$E:$E, Sheet3!$B:$B, "")</f>
        <v>고등</v>
      </c>
      <c r="Y84" s="7" t="str">
        <f>_xlfn.XLOOKUP(H84, Sheet3!$E:$E, Sheet3!$C:$C, "")</f>
        <v>공통영어 2</v>
      </c>
      <c r="Z84" s="7" t="str">
        <f>_xlfn.XLOOKUP(H84, Sheet3!$E:$E, Sheet3!$D:$D, "")</f>
        <v>조수경</v>
      </c>
    </row>
    <row r="85" spans="1:26" x14ac:dyDescent="0.25">
      <c r="A85" t="s">
        <v>339</v>
      </c>
      <c r="B85" t="s">
        <v>31</v>
      </c>
      <c r="C85" t="s">
        <v>18</v>
      </c>
      <c r="D85" t="s">
        <v>343</v>
      </c>
      <c r="E85" t="s">
        <v>201</v>
      </c>
      <c r="F85" t="s">
        <v>35</v>
      </c>
      <c r="G85" t="s">
        <v>341</v>
      </c>
      <c r="J85" t="s">
        <v>289</v>
      </c>
      <c r="K85" t="s">
        <v>149</v>
      </c>
      <c r="L85" t="s">
        <v>307</v>
      </c>
      <c r="M85" t="s">
        <v>27</v>
      </c>
      <c r="N85" t="s">
        <v>74</v>
      </c>
      <c r="O85" t="s">
        <v>29</v>
      </c>
      <c r="P85" t="s">
        <v>89</v>
      </c>
      <c r="X85" s="7">
        <f>_xlfn.XLOOKUP(H85, Sheet3!$E:$E, Sheet3!$B:$B, "")</f>
        <v>0</v>
      </c>
      <c r="Y85" s="7">
        <f>_xlfn.XLOOKUP(H85, Sheet3!$E:$E, Sheet3!$C:$C, "")</f>
        <v>0</v>
      </c>
      <c r="Z85" s="7">
        <f>_xlfn.XLOOKUP(H85, Sheet3!$E:$E, Sheet3!$D:$D, "")</f>
        <v>0</v>
      </c>
    </row>
    <row r="86" spans="1:26" x14ac:dyDescent="0.25">
      <c r="A86" t="s">
        <v>344</v>
      </c>
      <c r="B86" t="s">
        <v>17</v>
      </c>
      <c r="C86" t="s">
        <v>18</v>
      </c>
      <c r="D86" t="s">
        <v>345</v>
      </c>
      <c r="E86" t="s">
        <v>201</v>
      </c>
      <c r="F86" t="s">
        <v>35</v>
      </c>
      <c r="G86" t="s">
        <v>346</v>
      </c>
      <c r="H86" t="s">
        <v>347</v>
      </c>
      <c r="J86" t="s">
        <v>348</v>
      </c>
      <c r="K86" t="s">
        <v>149</v>
      </c>
      <c r="L86" t="s">
        <v>307</v>
      </c>
      <c r="M86" t="s">
        <v>27</v>
      </c>
      <c r="N86" t="s">
        <v>74</v>
      </c>
      <c r="O86" t="s">
        <v>29</v>
      </c>
      <c r="P86" t="s">
        <v>89</v>
      </c>
      <c r="Q86" s="7" t="s">
        <v>1088</v>
      </c>
      <c r="R86" s="7" t="s">
        <v>1125</v>
      </c>
      <c r="S86" s="7" t="s">
        <v>1137</v>
      </c>
      <c r="T86" s="5">
        <v>0.125</v>
      </c>
      <c r="U86" s="4" t="s">
        <v>1128</v>
      </c>
      <c r="V86" s="7" t="s">
        <v>1127</v>
      </c>
      <c r="X86" s="7" t="str">
        <f>_xlfn.XLOOKUP(H86, Sheet3!$E:$E, Sheet3!$B:$B, "")</f>
        <v>고등</v>
      </c>
      <c r="Y86" s="7" t="str">
        <f>_xlfn.XLOOKUP(H86, Sheet3!$E:$E, Sheet3!$C:$C, "")</f>
        <v>공통영어 2</v>
      </c>
      <c r="Z86" s="7" t="str">
        <f>_xlfn.XLOOKUP(H86, Sheet3!$E:$E, Sheet3!$D:$D, "")</f>
        <v>강상구</v>
      </c>
    </row>
    <row r="87" spans="1:26" x14ac:dyDescent="0.25">
      <c r="A87" t="s">
        <v>344</v>
      </c>
      <c r="B87" t="s">
        <v>31</v>
      </c>
      <c r="C87" t="s">
        <v>18</v>
      </c>
      <c r="D87" t="s">
        <v>349</v>
      </c>
      <c r="E87" t="s">
        <v>201</v>
      </c>
      <c r="F87" t="s">
        <v>35</v>
      </c>
      <c r="G87" t="s">
        <v>346</v>
      </c>
      <c r="J87" t="s">
        <v>350</v>
      </c>
      <c r="K87" t="s">
        <v>149</v>
      </c>
      <c r="L87" t="s">
        <v>307</v>
      </c>
      <c r="M87" t="s">
        <v>27</v>
      </c>
      <c r="N87" t="s">
        <v>74</v>
      </c>
      <c r="O87" t="s">
        <v>29</v>
      </c>
      <c r="P87" t="s">
        <v>89</v>
      </c>
      <c r="X87" s="7">
        <f>_xlfn.XLOOKUP(H87, Sheet3!$E:$E, Sheet3!$B:$B, "")</f>
        <v>0</v>
      </c>
      <c r="Y87" s="7">
        <f>_xlfn.XLOOKUP(H87, Sheet3!$E:$E, Sheet3!$C:$C, "")</f>
        <v>0</v>
      </c>
      <c r="Z87" s="7">
        <f>_xlfn.XLOOKUP(H87, Sheet3!$E:$E, Sheet3!$D:$D, "")</f>
        <v>0</v>
      </c>
    </row>
    <row r="88" spans="1:26" x14ac:dyDescent="0.25">
      <c r="A88" t="s">
        <v>351</v>
      </c>
      <c r="B88" t="s">
        <v>17</v>
      </c>
      <c r="C88" t="s">
        <v>18</v>
      </c>
      <c r="D88" t="s">
        <v>352</v>
      </c>
      <c r="E88" t="s">
        <v>201</v>
      </c>
      <c r="F88" t="s">
        <v>35</v>
      </c>
      <c r="G88" t="s">
        <v>353</v>
      </c>
      <c r="H88" t="s">
        <v>354</v>
      </c>
      <c r="J88" t="s">
        <v>279</v>
      </c>
      <c r="K88" t="s">
        <v>149</v>
      </c>
      <c r="L88" t="s">
        <v>355</v>
      </c>
      <c r="M88" t="s">
        <v>27</v>
      </c>
      <c r="N88" t="s">
        <v>74</v>
      </c>
      <c r="O88" t="s">
        <v>29</v>
      </c>
      <c r="P88" t="s">
        <v>89</v>
      </c>
      <c r="Q88" s="7" t="s">
        <v>1088</v>
      </c>
      <c r="R88" s="7" t="s">
        <v>1125</v>
      </c>
      <c r="S88" s="7" t="s">
        <v>1133</v>
      </c>
      <c r="T88" s="5">
        <v>0.125</v>
      </c>
      <c r="U88" s="4" t="s">
        <v>1128</v>
      </c>
      <c r="V88" s="7" t="s">
        <v>1127</v>
      </c>
      <c r="X88" s="7" t="str">
        <f>_xlfn.XLOOKUP(H88, Sheet3!$E:$E, Sheet3!$B:$B, "")</f>
        <v>초등</v>
      </c>
      <c r="Y88" s="7" t="str">
        <f>_xlfn.XLOOKUP(H88, Sheet3!$E:$E, Sheet3!$C:$C, "")</f>
        <v>영어 4</v>
      </c>
      <c r="Z88" s="7" t="str">
        <f>_xlfn.XLOOKUP(H88, Sheet3!$E:$E, Sheet3!$D:$D, "")</f>
        <v>함순애</v>
      </c>
    </row>
    <row r="89" spans="1:26" x14ac:dyDescent="0.25">
      <c r="A89" t="s">
        <v>351</v>
      </c>
      <c r="B89" t="s">
        <v>31</v>
      </c>
      <c r="C89" t="s">
        <v>18</v>
      </c>
      <c r="D89" t="s">
        <v>356</v>
      </c>
      <c r="E89" t="s">
        <v>201</v>
      </c>
      <c r="F89" t="s">
        <v>35</v>
      </c>
      <c r="G89" t="s">
        <v>353</v>
      </c>
      <c r="J89" t="s">
        <v>282</v>
      </c>
      <c r="K89" t="s">
        <v>149</v>
      </c>
      <c r="L89" t="s">
        <v>355</v>
      </c>
      <c r="M89" t="s">
        <v>27</v>
      </c>
      <c r="N89" t="s">
        <v>74</v>
      </c>
      <c r="O89" t="s">
        <v>29</v>
      </c>
      <c r="P89" t="s">
        <v>89</v>
      </c>
      <c r="X89" s="7">
        <f>_xlfn.XLOOKUP(H89, Sheet3!$E:$E, Sheet3!$B:$B, "")</f>
        <v>0</v>
      </c>
      <c r="Y89" s="7">
        <f>_xlfn.XLOOKUP(H89, Sheet3!$E:$E, Sheet3!$C:$C, "")</f>
        <v>0</v>
      </c>
      <c r="Z89" s="7">
        <f>_xlfn.XLOOKUP(H89, Sheet3!$E:$E, Sheet3!$D:$D, "")</f>
        <v>0</v>
      </c>
    </row>
    <row r="90" spans="1:26" x14ac:dyDescent="0.25">
      <c r="A90" t="s">
        <v>357</v>
      </c>
      <c r="B90" t="s">
        <v>17</v>
      </c>
      <c r="C90" t="s">
        <v>18</v>
      </c>
      <c r="D90" t="s">
        <v>358</v>
      </c>
      <c r="E90" t="s">
        <v>201</v>
      </c>
      <c r="F90" t="s">
        <v>35</v>
      </c>
      <c r="G90" t="s">
        <v>359</v>
      </c>
      <c r="H90" t="s">
        <v>360</v>
      </c>
      <c r="J90" t="s">
        <v>361</v>
      </c>
      <c r="K90" t="s">
        <v>149</v>
      </c>
      <c r="L90" t="s">
        <v>362</v>
      </c>
      <c r="M90" t="s">
        <v>27</v>
      </c>
      <c r="N90" t="s">
        <v>74</v>
      </c>
      <c r="O90" t="s">
        <v>29</v>
      </c>
      <c r="P90" t="s">
        <v>363</v>
      </c>
      <c r="Q90" s="7" t="s">
        <v>1088</v>
      </c>
      <c r="R90" s="7" t="s">
        <v>1125</v>
      </c>
      <c r="S90" s="7" t="s">
        <v>1131</v>
      </c>
      <c r="T90" s="5">
        <v>0.125</v>
      </c>
      <c r="U90" s="4" t="s">
        <v>1128</v>
      </c>
      <c r="V90" s="7" t="s">
        <v>1127</v>
      </c>
      <c r="X90" s="7" t="str">
        <f>_xlfn.XLOOKUP(H90, Sheet3!$E:$E, Sheet3!$B:$B, "")</f>
        <v>초등</v>
      </c>
      <c r="Y90" s="7" t="str">
        <f>_xlfn.XLOOKUP(H90, Sheet3!$E:$E, Sheet3!$C:$C, "")</f>
        <v>영어 4</v>
      </c>
      <c r="Z90" s="7" t="str">
        <f>_xlfn.XLOOKUP(H90, Sheet3!$E:$E, Sheet3!$D:$D, "")</f>
        <v>김태은</v>
      </c>
    </row>
    <row r="91" spans="1:26" x14ac:dyDescent="0.25">
      <c r="A91" t="s">
        <v>357</v>
      </c>
      <c r="B91" t="s">
        <v>31</v>
      </c>
      <c r="C91" t="s">
        <v>18</v>
      </c>
      <c r="D91" t="s">
        <v>364</v>
      </c>
      <c r="E91" t="s">
        <v>201</v>
      </c>
      <c r="F91" t="s">
        <v>35</v>
      </c>
      <c r="G91" t="s">
        <v>359</v>
      </c>
      <c r="J91" t="s">
        <v>365</v>
      </c>
      <c r="K91" t="s">
        <v>149</v>
      </c>
      <c r="L91" t="s">
        <v>366</v>
      </c>
      <c r="M91" t="s">
        <v>27</v>
      </c>
      <c r="N91" t="s">
        <v>74</v>
      </c>
      <c r="O91" t="s">
        <v>29</v>
      </c>
      <c r="P91" t="s">
        <v>363</v>
      </c>
      <c r="X91" s="7">
        <f>_xlfn.XLOOKUP(H91, Sheet3!$E:$E, Sheet3!$B:$B, "")</f>
        <v>0</v>
      </c>
      <c r="Y91" s="7">
        <f>_xlfn.XLOOKUP(H91, Sheet3!$E:$E, Sheet3!$C:$C, "")</f>
        <v>0</v>
      </c>
      <c r="Z91" s="7">
        <f>_xlfn.XLOOKUP(H91, Sheet3!$E:$E, Sheet3!$D:$D, "")</f>
        <v>0</v>
      </c>
    </row>
    <row r="92" spans="1:26" x14ac:dyDescent="0.25">
      <c r="A92" t="s">
        <v>367</v>
      </c>
      <c r="B92" t="s">
        <v>17</v>
      </c>
      <c r="C92" t="s">
        <v>18</v>
      </c>
      <c r="D92" t="s">
        <v>368</v>
      </c>
      <c r="E92" t="s">
        <v>201</v>
      </c>
      <c r="F92" t="s">
        <v>35</v>
      </c>
      <c r="G92" t="s">
        <v>78</v>
      </c>
      <c r="H92" t="s">
        <v>369</v>
      </c>
      <c r="J92" t="s">
        <v>306</v>
      </c>
      <c r="K92" t="s">
        <v>149</v>
      </c>
      <c r="L92" t="s">
        <v>273</v>
      </c>
      <c r="M92" t="s">
        <v>27</v>
      </c>
      <c r="N92" t="s">
        <v>74</v>
      </c>
      <c r="O92" t="s">
        <v>29</v>
      </c>
      <c r="P92" t="s">
        <v>370</v>
      </c>
      <c r="Q92" s="7" t="s">
        <v>1088</v>
      </c>
      <c r="R92" s="7" t="s">
        <v>1125</v>
      </c>
      <c r="S92" s="7" t="s">
        <v>1129</v>
      </c>
      <c r="T92" s="5">
        <v>0.125</v>
      </c>
      <c r="U92" s="4" t="s">
        <v>1128</v>
      </c>
      <c r="V92" s="7" t="s">
        <v>1127</v>
      </c>
      <c r="X92" s="7" t="str">
        <f>_xlfn.XLOOKUP(H92, Sheet3!$E:$E, Sheet3!$B:$B, "")</f>
        <v>초등</v>
      </c>
      <c r="Y92" s="7" t="str">
        <f>_xlfn.XLOOKUP(H92, Sheet3!$E:$E, Sheet3!$C:$C, "")</f>
        <v>영어 4</v>
      </c>
      <c r="Z92" s="7" t="str">
        <f>_xlfn.XLOOKUP(H92, Sheet3!$E:$E, Sheet3!$D:$D, "")</f>
        <v>이동환</v>
      </c>
    </row>
    <row r="93" spans="1:26" x14ac:dyDescent="0.25">
      <c r="A93" t="s">
        <v>367</v>
      </c>
      <c r="B93" t="s">
        <v>31</v>
      </c>
      <c r="C93" t="s">
        <v>18</v>
      </c>
      <c r="D93" t="s">
        <v>371</v>
      </c>
      <c r="E93" t="s">
        <v>201</v>
      </c>
      <c r="F93" t="s">
        <v>35</v>
      </c>
      <c r="G93" t="s">
        <v>78</v>
      </c>
      <c r="J93" t="s">
        <v>372</v>
      </c>
      <c r="K93" t="s">
        <v>149</v>
      </c>
      <c r="L93" t="s">
        <v>226</v>
      </c>
      <c r="M93" t="s">
        <v>27</v>
      </c>
      <c r="N93" t="s">
        <v>74</v>
      </c>
      <c r="O93" t="s">
        <v>29</v>
      </c>
      <c r="P93" t="s">
        <v>370</v>
      </c>
      <c r="X93" s="7">
        <f>_xlfn.XLOOKUP(H93, Sheet3!$E:$E, Sheet3!$B:$B, "")</f>
        <v>0</v>
      </c>
      <c r="Y93" s="7">
        <f>_xlfn.XLOOKUP(H93, Sheet3!$E:$E, Sheet3!$C:$C, "")</f>
        <v>0</v>
      </c>
      <c r="Z93" s="7">
        <f>_xlfn.XLOOKUP(H93, Sheet3!$E:$E, Sheet3!$D:$D, "")</f>
        <v>0</v>
      </c>
    </row>
    <row r="94" spans="1:26" x14ac:dyDescent="0.25">
      <c r="A94" t="s">
        <v>373</v>
      </c>
      <c r="B94" t="s">
        <v>17</v>
      </c>
      <c r="C94" t="s">
        <v>18</v>
      </c>
      <c r="D94" t="s">
        <v>374</v>
      </c>
      <c r="E94" t="s">
        <v>375</v>
      </c>
      <c r="F94" t="s">
        <v>35</v>
      </c>
      <c r="G94" t="s">
        <v>376</v>
      </c>
      <c r="H94" t="s">
        <v>377</v>
      </c>
      <c r="J94" t="s">
        <v>335</v>
      </c>
      <c r="K94" t="s">
        <v>149</v>
      </c>
      <c r="L94" t="s">
        <v>214</v>
      </c>
      <c r="M94" t="s">
        <v>27</v>
      </c>
      <c r="N94" t="s">
        <v>74</v>
      </c>
      <c r="O94" t="s">
        <v>29</v>
      </c>
      <c r="P94" t="s">
        <v>30</v>
      </c>
      <c r="X94" s="7" t="str">
        <f>_xlfn.XLOOKUP(H94, Sheet3!$E:$E, Sheet3!$B:$B, "")</f>
        <v/>
      </c>
      <c r="Y94" s="7" t="str">
        <f>_xlfn.XLOOKUP(H94, Sheet3!$E:$E, Sheet3!$C:$C, "")</f>
        <v/>
      </c>
      <c r="Z94" s="7" t="str">
        <f>_xlfn.XLOOKUP(H94, Sheet3!$E:$E, Sheet3!$D:$D, "")</f>
        <v/>
      </c>
    </row>
    <row r="95" spans="1:26" x14ac:dyDescent="0.25">
      <c r="A95" t="s">
        <v>373</v>
      </c>
      <c r="B95" t="s">
        <v>31</v>
      </c>
      <c r="C95" t="s">
        <v>18</v>
      </c>
      <c r="D95" t="s">
        <v>378</v>
      </c>
      <c r="E95" t="s">
        <v>375</v>
      </c>
      <c r="F95" t="s">
        <v>35</v>
      </c>
      <c r="G95" t="s">
        <v>376</v>
      </c>
      <c r="J95" t="s">
        <v>379</v>
      </c>
      <c r="K95" t="s">
        <v>149</v>
      </c>
      <c r="L95" t="s">
        <v>214</v>
      </c>
      <c r="M95" t="s">
        <v>27</v>
      </c>
      <c r="N95" t="s">
        <v>74</v>
      </c>
      <c r="O95" t="s">
        <v>29</v>
      </c>
      <c r="P95" t="s">
        <v>30</v>
      </c>
      <c r="X95" s="7">
        <f>_xlfn.XLOOKUP(H95, Sheet3!$E:$E, Sheet3!$B:$B, "")</f>
        <v>0</v>
      </c>
      <c r="Y95" s="7">
        <f>_xlfn.XLOOKUP(H95, Sheet3!$E:$E, Sheet3!$C:$C, "")</f>
        <v>0</v>
      </c>
      <c r="Z95" s="7">
        <f>_xlfn.XLOOKUP(H95, Sheet3!$E:$E, Sheet3!$D:$D, "")</f>
        <v>0</v>
      </c>
    </row>
    <row r="96" spans="1:26" x14ac:dyDescent="0.25">
      <c r="A96" t="s">
        <v>380</v>
      </c>
      <c r="B96" t="s">
        <v>51</v>
      </c>
      <c r="C96" t="s">
        <v>18</v>
      </c>
      <c r="D96" t="s">
        <v>381</v>
      </c>
      <c r="E96" t="s">
        <v>144</v>
      </c>
      <c r="F96" t="s">
        <v>21</v>
      </c>
      <c r="G96" t="s">
        <v>382</v>
      </c>
      <c r="H96" t="s">
        <v>383</v>
      </c>
      <c r="J96" t="s">
        <v>384</v>
      </c>
      <c r="K96" t="s">
        <v>149</v>
      </c>
      <c r="L96" t="s">
        <v>122</v>
      </c>
      <c r="M96" t="s">
        <v>27</v>
      </c>
      <c r="N96" t="s">
        <v>74</v>
      </c>
      <c r="O96" t="s">
        <v>29</v>
      </c>
      <c r="P96" t="s">
        <v>385</v>
      </c>
      <c r="X96" s="7" t="str">
        <f>_xlfn.XLOOKUP(H96, Sheet3!$E:$E, Sheet3!$B:$B, "")</f>
        <v/>
      </c>
      <c r="Y96" s="7" t="str">
        <f>_xlfn.XLOOKUP(H96, Sheet3!$E:$E, Sheet3!$C:$C, "")</f>
        <v/>
      </c>
      <c r="Z96" s="7" t="str">
        <f>_xlfn.XLOOKUP(H96, Sheet3!$E:$E, Sheet3!$D:$D, "")</f>
        <v/>
      </c>
    </row>
    <row r="97" spans="1:26" x14ac:dyDescent="0.25">
      <c r="A97" t="s">
        <v>386</v>
      </c>
      <c r="B97" t="s">
        <v>17</v>
      </c>
      <c r="C97" t="s">
        <v>18</v>
      </c>
      <c r="D97" t="s">
        <v>387</v>
      </c>
      <c r="E97" t="s">
        <v>187</v>
      </c>
      <c r="F97" t="s">
        <v>35</v>
      </c>
      <c r="G97" t="s">
        <v>180</v>
      </c>
      <c r="H97" t="s">
        <v>388</v>
      </c>
      <c r="J97" t="s">
        <v>389</v>
      </c>
      <c r="K97" t="s">
        <v>149</v>
      </c>
      <c r="L97" t="s">
        <v>122</v>
      </c>
      <c r="M97" t="s">
        <v>27</v>
      </c>
      <c r="N97" t="s">
        <v>74</v>
      </c>
      <c r="O97" t="s">
        <v>29</v>
      </c>
      <c r="P97" t="s">
        <v>390</v>
      </c>
      <c r="X97" s="7" t="str">
        <f>_xlfn.XLOOKUP(H97, Sheet3!$E:$E, Sheet3!$B:$B, "")</f>
        <v/>
      </c>
      <c r="Y97" s="7" t="str">
        <f>_xlfn.XLOOKUP(H97, Sheet3!$E:$E, Sheet3!$C:$C, "")</f>
        <v/>
      </c>
      <c r="Z97" s="7" t="str">
        <f>_xlfn.XLOOKUP(H97, Sheet3!$E:$E, Sheet3!$D:$D, "")</f>
        <v/>
      </c>
    </row>
    <row r="98" spans="1:26" x14ac:dyDescent="0.25">
      <c r="A98" t="s">
        <v>386</v>
      </c>
      <c r="B98" t="s">
        <v>31</v>
      </c>
      <c r="C98" t="s">
        <v>18</v>
      </c>
      <c r="D98" t="s">
        <v>391</v>
      </c>
      <c r="E98" t="s">
        <v>187</v>
      </c>
      <c r="F98" t="s">
        <v>35</v>
      </c>
      <c r="G98" t="s">
        <v>180</v>
      </c>
      <c r="J98" t="s">
        <v>392</v>
      </c>
      <c r="K98" t="s">
        <v>149</v>
      </c>
      <c r="L98" t="s">
        <v>122</v>
      </c>
      <c r="M98" t="s">
        <v>27</v>
      </c>
      <c r="N98" t="s">
        <v>74</v>
      </c>
      <c r="O98" t="s">
        <v>29</v>
      </c>
      <c r="P98" t="s">
        <v>390</v>
      </c>
      <c r="X98" s="7">
        <f>_xlfn.XLOOKUP(H98, Sheet3!$E:$E, Sheet3!$B:$B, "")</f>
        <v>0</v>
      </c>
      <c r="Y98" s="7">
        <f>_xlfn.XLOOKUP(H98, Sheet3!$E:$E, Sheet3!$C:$C, "")</f>
        <v>0</v>
      </c>
      <c r="Z98" s="7">
        <f>_xlfn.XLOOKUP(H98, Sheet3!$E:$E, Sheet3!$D:$D, "")</f>
        <v>0</v>
      </c>
    </row>
    <row r="99" spans="1:26" x14ac:dyDescent="0.25">
      <c r="A99" t="s">
        <v>393</v>
      </c>
      <c r="B99" t="s">
        <v>51</v>
      </c>
      <c r="C99" t="s">
        <v>18</v>
      </c>
      <c r="D99" t="s">
        <v>394</v>
      </c>
      <c r="E99" t="s">
        <v>144</v>
      </c>
      <c r="F99" t="s">
        <v>53</v>
      </c>
      <c r="G99" t="s">
        <v>395</v>
      </c>
      <c r="H99" t="s">
        <v>396</v>
      </c>
      <c r="J99" t="s">
        <v>397</v>
      </c>
      <c r="K99" t="s">
        <v>149</v>
      </c>
      <c r="L99" t="s">
        <v>212</v>
      </c>
      <c r="M99" t="s">
        <v>27</v>
      </c>
      <c r="N99" t="s">
        <v>74</v>
      </c>
      <c r="O99" t="s">
        <v>29</v>
      </c>
      <c r="P99" t="s">
        <v>398</v>
      </c>
      <c r="Q99" s="7" t="s">
        <v>1088</v>
      </c>
      <c r="R99" t="s">
        <v>1084</v>
      </c>
      <c r="S99" s="7" t="s">
        <v>1095</v>
      </c>
      <c r="T99" s="5">
        <v>8.3333333333333329E-2</v>
      </c>
      <c r="U99" s="6" t="s">
        <v>1069</v>
      </c>
      <c r="V99" s="7" t="s">
        <v>1086</v>
      </c>
      <c r="X99" s="7" t="str">
        <f>_xlfn.XLOOKUP(H99, Sheet3!$E:$E, Sheet3!$B:$B, "")</f>
        <v/>
      </c>
      <c r="Y99" s="7" t="str">
        <f>_xlfn.XLOOKUP(H99, Sheet3!$E:$E, Sheet3!$C:$C, "")</f>
        <v/>
      </c>
      <c r="Z99" s="7" t="str">
        <f>_xlfn.XLOOKUP(H99, Sheet3!$E:$E, Sheet3!$D:$D, "")</f>
        <v/>
      </c>
    </row>
    <row r="100" spans="1:26" x14ac:dyDescent="0.25">
      <c r="A100" t="s">
        <v>399</v>
      </c>
      <c r="B100" t="s">
        <v>51</v>
      </c>
      <c r="C100" t="s">
        <v>18</v>
      </c>
      <c r="D100" t="s">
        <v>400</v>
      </c>
      <c r="E100" t="s">
        <v>144</v>
      </c>
      <c r="F100" t="s">
        <v>53</v>
      </c>
      <c r="G100" t="s">
        <v>401</v>
      </c>
      <c r="H100" t="s">
        <v>402</v>
      </c>
      <c r="J100" t="s">
        <v>397</v>
      </c>
      <c r="K100" t="s">
        <v>149</v>
      </c>
      <c r="L100" t="s">
        <v>122</v>
      </c>
      <c r="M100" t="s">
        <v>27</v>
      </c>
      <c r="N100" t="s">
        <v>74</v>
      </c>
      <c r="O100" t="s">
        <v>29</v>
      </c>
      <c r="P100" t="s">
        <v>398</v>
      </c>
      <c r="Q100" t="s">
        <v>1100</v>
      </c>
      <c r="R100" t="s">
        <v>1101</v>
      </c>
      <c r="S100" s="7" t="s">
        <v>1111</v>
      </c>
      <c r="T100" s="5">
        <v>8.3333333333333329E-2</v>
      </c>
      <c r="U100" s="6" t="s">
        <v>1069</v>
      </c>
      <c r="V100" t="s">
        <v>1103</v>
      </c>
      <c r="X100" s="7" t="str">
        <f>_xlfn.XLOOKUP(H100, Sheet3!$E:$E, Sheet3!$B:$B, "")</f>
        <v/>
      </c>
      <c r="Y100" s="7" t="str">
        <f>_xlfn.XLOOKUP(H100, Sheet3!$E:$E, Sheet3!$C:$C, "")</f>
        <v/>
      </c>
      <c r="Z100" s="7" t="str">
        <f>_xlfn.XLOOKUP(H100, Sheet3!$E:$E, Sheet3!$D:$D, "")</f>
        <v/>
      </c>
    </row>
    <row r="101" spans="1:26" x14ac:dyDescent="0.25">
      <c r="A101" t="s">
        <v>403</v>
      </c>
      <c r="B101" t="s">
        <v>51</v>
      </c>
      <c r="C101" t="s">
        <v>18</v>
      </c>
      <c r="D101" t="s">
        <v>404</v>
      </c>
      <c r="E101" t="s">
        <v>144</v>
      </c>
      <c r="F101" t="s">
        <v>53</v>
      </c>
      <c r="G101" t="s">
        <v>405</v>
      </c>
      <c r="H101" t="s">
        <v>406</v>
      </c>
      <c r="J101" t="s">
        <v>407</v>
      </c>
      <c r="K101" t="s">
        <v>149</v>
      </c>
      <c r="L101" t="s">
        <v>122</v>
      </c>
      <c r="M101" t="s">
        <v>27</v>
      </c>
      <c r="N101" t="s">
        <v>74</v>
      </c>
      <c r="O101" t="s">
        <v>29</v>
      </c>
      <c r="P101" t="s">
        <v>398</v>
      </c>
      <c r="Q101" t="s">
        <v>1100</v>
      </c>
      <c r="R101" t="s">
        <v>1101</v>
      </c>
      <c r="S101" s="7" t="s">
        <v>1104</v>
      </c>
      <c r="T101" s="5">
        <v>8.3333333333333329E-2</v>
      </c>
      <c r="U101" s="6" t="s">
        <v>1069</v>
      </c>
      <c r="V101" t="s">
        <v>1103</v>
      </c>
      <c r="X101" s="7" t="str">
        <f>_xlfn.XLOOKUP(H101, Sheet3!$E:$E, Sheet3!$B:$B, "")</f>
        <v/>
      </c>
      <c r="Y101" s="7" t="str">
        <f>_xlfn.XLOOKUP(H101, Sheet3!$E:$E, Sheet3!$C:$C, "")</f>
        <v/>
      </c>
      <c r="Z101" s="7" t="str">
        <f>_xlfn.XLOOKUP(H101, Sheet3!$E:$E, Sheet3!$D:$D, "")</f>
        <v/>
      </c>
    </row>
    <row r="102" spans="1:26" x14ac:dyDescent="0.25">
      <c r="A102" t="s">
        <v>408</v>
      </c>
      <c r="B102" t="s">
        <v>51</v>
      </c>
      <c r="C102" t="s">
        <v>18</v>
      </c>
      <c r="D102" t="s">
        <v>409</v>
      </c>
      <c r="E102" t="s">
        <v>144</v>
      </c>
      <c r="F102" t="s">
        <v>53</v>
      </c>
      <c r="G102" t="s">
        <v>60</v>
      </c>
      <c r="H102" t="s">
        <v>410</v>
      </c>
      <c r="J102" t="s">
        <v>407</v>
      </c>
      <c r="K102" t="s">
        <v>149</v>
      </c>
      <c r="L102" t="s">
        <v>307</v>
      </c>
      <c r="M102" t="s">
        <v>27</v>
      </c>
      <c r="N102" t="s">
        <v>74</v>
      </c>
      <c r="O102" t="s">
        <v>29</v>
      </c>
      <c r="P102" t="s">
        <v>398</v>
      </c>
      <c r="Q102" t="s">
        <v>1083</v>
      </c>
      <c r="R102" t="s">
        <v>1084</v>
      </c>
      <c r="S102" s="7" t="s">
        <v>1087</v>
      </c>
      <c r="T102" s="5">
        <v>8.3333333333333329E-2</v>
      </c>
      <c r="U102" s="6" t="s">
        <v>1069</v>
      </c>
      <c r="V102" s="7" t="s">
        <v>1086</v>
      </c>
      <c r="X102" s="7" t="str">
        <f>_xlfn.XLOOKUP(H102, Sheet3!$E:$E, Sheet3!$B:$B, "")</f>
        <v/>
      </c>
      <c r="Y102" s="7" t="str">
        <f>_xlfn.XLOOKUP(H102, Sheet3!$E:$E, Sheet3!$C:$C, "")</f>
        <v/>
      </c>
      <c r="Z102" s="7" t="str">
        <f>_xlfn.XLOOKUP(H102, Sheet3!$E:$E, Sheet3!$D:$D, "")</f>
        <v/>
      </c>
    </row>
    <row r="103" spans="1:26" x14ac:dyDescent="0.25">
      <c r="A103" t="s">
        <v>411</v>
      </c>
      <c r="B103" t="s">
        <v>17</v>
      </c>
      <c r="C103" t="s">
        <v>18</v>
      </c>
      <c r="D103" t="s">
        <v>412</v>
      </c>
      <c r="E103" t="s">
        <v>144</v>
      </c>
      <c r="F103" t="s">
        <v>53</v>
      </c>
      <c r="G103" t="s">
        <v>155</v>
      </c>
      <c r="H103" t="s">
        <v>413</v>
      </c>
      <c r="J103" t="s">
        <v>414</v>
      </c>
      <c r="K103" t="s">
        <v>149</v>
      </c>
      <c r="L103" t="s">
        <v>122</v>
      </c>
      <c r="M103" t="s">
        <v>27</v>
      </c>
      <c r="N103" t="s">
        <v>74</v>
      </c>
      <c r="O103" t="s">
        <v>29</v>
      </c>
      <c r="P103" t="s">
        <v>415</v>
      </c>
      <c r="X103" s="7" t="str">
        <f>_xlfn.XLOOKUP(H103, Sheet3!$E:$E, Sheet3!$B:$B, "")</f>
        <v/>
      </c>
      <c r="Y103" s="7" t="str">
        <f>_xlfn.XLOOKUP(H103, Sheet3!$E:$E, Sheet3!$C:$C, "")</f>
        <v/>
      </c>
      <c r="Z103" s="7" t="str">
        <f>_xlfn.XLOOKUP(H103, Sheet3!$E:$E, Sheet3!$D:$D, "")</f>
        <v/>
      </c>
    </row>
    <row r="104" spans="1:26" x14ac:dyDescent="0.25">
      <c r="A104" t="s">
        <v>411</v>
      </c>
      <c r="B104" t="s">
        <v>31</v>
      </c>
      <c r="C104" t="s">
        <v>18</v>
      </c>
      <c r="D104" t="s">
        <v>416</v>
      </c>
      <c r="E104" t="s">
        <v>144</v>
      </c>
      <c r="F104" t="s">
        <v>53</v>
      </c>
      <c r="G104" t="s">
        <v>155</v>
      </c>
      <c r="J104" t="s">
        <v>171</v>
      </c>
      <c r="K104" t="s">
        <v>149</v>
      </c>
      <c r="L104" t="s">
        <v>122</v>
      </c>
      <c r="M104" t="s">
        <v>27</v>
      </c>
      <c r="N104" t="s">
        <v>74</v>
      </c>
      <c r="O104" t="s">
        <v>29</v>
      </c>
      <c r="P104" t="s">
        <v>415</v>
      </c>
      <c r="X104" s="7" t="str">
        <f>_xlfn.XLOOKUP(H104, Sheet3!$E:$E, Sheet3!$B:$B, "")</f>
        <v/>
      </c>
      <c r="Y104" s="7" t="str">
        <f>_xlfn.XLOOKUP(H104, Sheet3!$E:$E, Sheet3!$C:$C, "")</f>
        <v/>
      </c>
      <c r="Z104" s="7" t="str">
        <f>_xlfn.XLOOKUP(H104, Sheet3!$E:$E, Sheet3!$D:$D, "")</f>
        <v/>
      </c>
    </row>
    <row r="105" spans="1:26" x14ac:dyDescent="0.25">
      <c r="A105" t="s">
        <v>417</v>
      </c>
      <c r="B105" t="s">
        <v>17</v>
      </c>
      <c r="C105" t="s">
        <v>18</v>
      </c>
      <c r="D105" t="s">
        <v>418</v>
      </c>
      <c r="E105" t="s">
        <v>144</v>
      </c>
      <c r="F105" t="s">
        <v>21</v>
      </c>
      <c r="G105" t="s">
        <v>419</v>
      </c>
      <c r="H105" t="s">
        <v>420</v>
      </c>
      <c r="J105" t="s">
        <v>421</v>
      </c>
      <c r="K105" t="s">
        <v>149</v>
      </c>
      <c r="L105" t="s">
        <v>122</v>
      </c>
      <c r="M105" t="s">
        <v>27</v>
      </c>
      <c r="N105" t="s">
        <v>74</v>
      </c>
      <c r="O105" t="s">
        <v>29</v>
      </c>
      <c r="P105" t="s">
        <v>422</v>
      </c>
      <c r="X105" s="7" t="str">
        <f>_xlfn.XLOOKUP(H105, Sheet3!$E:$E, Sheet3!$B:$B, "")</f>
        <v/>
      </c>
      <c r="Y105" s="7" t="str">
        <f>_xlfn.XLOOKUP(H105, Sheet3!$E:$E, Sheet3!$C:$C, "")</f>
        <v/>
      </c>
      <c r="Z105" s="7" t="str">
        <f>_xlfn.XLOOKUP(H105, Sheet3!$E:$E, Sheet3!$D:$D, "")</f>
        <v/>
      </c>
    </row>
    <row r="106" spans="1:26" x14ac:dyDescent="0.25">
      <c r="A106" t="s">
        <v>417</v>
      </c>
      <c r="B106" t="s">
        <v>31</v>
      </c>
      <c r="C106" t="s">
        <v>18</v>
      </c>
      <c r="D106" t="s">
        <v>423</v>
      </c>
      <c r="E106" t="s">
        <v>144</v>
      </c>
      <c r="F106" t="s">
        <v>21</v>
      </c>
      <c r="G106" t="s">
        <v>419</v>
      </c>
      <c r="J106" t="s">
        <v>424</v>
      </c>
      <c r="K106" t="s">
        <v>149</v>
      </c>
      <c r="L106" t="s">
        <v>122</v>
      </c>
      <c r="M106" t="s">
        <v>27</v>
      </c>
      <c r="N106" t="s">
        <v>74</v>
      </c>
      <c r="O106" t="s">
        <v>29</v>
      </c>
      <c r="P106" t="s">
        <v>422</v>
      </c>
      <c r="X106" s="7">
        <f>_xlfn.XLOOKUP(H106, Sheet3!$E:$E, Sheet3!$B:$B, "")</f>
        <v>0</v>
      </c>
      <c r="Y106" s="7">
        <f>_xlfn.XLOOKUP(H106, Sheet3!$E:$E, Sheet3!$C:$C, "")</f>
        <v>0</v>
      </c>
      <c r="Z106" s="7">
        <f>_xlfn.XLOOKUP(H106, Sheet3!$E:$E, Sheet3!$D:$D, "")</f>
        <v>0</v>
      </c>
    </row>
    <row r="107" spans="1:26" x14ac:dyDescent="0.25">
      <c r="A107" t="s">
        <v>425</v>
      </c>
      <c r="B107" t="s">
        <v>17</v>
      </c>
      <c r="C107" t="s">
        <v>18</v>
      </c>
      <c r="D107" t="s">
        <v>426</v>
      </c>
      <c r="E107" t="s">
        <v>144</v>
      </c>
      <c r="F107" t="s">
        <v>21</v>
      </c>
      <c r="G107" t="s">
        <v>427</v>
      </c>
      <c r="H107" t="s">
        <v>428</v>
      </c>
      <c r="J107" t="s">
        <v>429</v>
      </c>
      <c r="K107" t="s">
        <v>149</v>
      </c>
      <c r="L107" t="s">
        <v>122</v>
      </c>
      <c r="M107" t="s">
        <v>27</v>
      </c>
      <c r="N107" t="s">
        <v>74</v>
      </c>
      <c r="O107" t="s">
        <v>29</v>
      </c>
      <c r="P107" t="s">
        <v>430</v>
      </c>
      <c r="X107" s="7" t="str">
        <f>_xlfn.XLOOKUP(H107, Sheet3!$E:$E, Sheet3!$B:$B, "")</f>
        <v/>
      </c>
      <c r="Y107" s="7" t="str">
        <f>_xlfn.XLOOKUP(H107, Sheet3!$E:$E, Sheet3!$C:$C, "")</f>
        <v/>
      </c>
      <c r="Z107" s="7" t="str">
        <f>_xlfn.XLOOKUP(H107, Sheet3!$E:$E, Sheet3!$D:$D, "")</f>
        <v/>
      </c>
    </row>
    <row r="108" spans="1:26" x14ac:dyDescent="0.25">
      <c r="A108" t="s">
        <v>425</v>
      </c>
      <c r="B108" t="s">
        <v>31</v>
      </c>
      <c r="C108" t="s">
        <v>18</v>
      </c>
      <c r="D108" t="s">
        <v>431</v>
      </c>
      <c r="E108" t="s">
        <v>144</v>
      </c>
      <c r="F108" t="s">
        <v>21</v>
      </c>
      <c r="G108" t="s">
        <v>427</v>
      </c>
      <c r="J108" t="s">
        <v>432</v>
      </c>
      <c r="K108" t="s">
        <v>149</v>
      </c>
      <c r="L108" t="s">
        <v>122</v>
      </c>
      <c r="M108" t="s">
        <v>27</v>
      </c>
      <c r="N108" t="s">
        <v>74</v>
      </c>
      <c r="O108" t="s">
        <v>29</v>
      </c>
      <c r="P108" t="s">
        <v>430</v>
      </c>
      <c r="X108" s="7">
        <f>_xlfn.XLOOKUP(H108, Sheet3!$E:$E, Sheet3!$B:$B, "")</f>
        <v>0</v>
      </c>
      <c r="Y108" s="7">
        <f>_xlfn.XLOOKUP(H108, Sheet3!$E:$E, Sheet3!$C:$C, "")</f>
        <v>0</v>
      </c>
      <c r="Z108" s="7">
        <f>_xlfn.XLOOKUP(H108, Sheet3!$E:$E, Sheet3!$D:$D, "")</f>
        <v>0</v>
      </c>
    </row>
    <row r="109" spans="1:26" x14ac:dyDescent="0.25">
      <c r="A109" t="s">
        <v>433</v>
      </c>
      <c r="B109" t="s">
        <v>17</v>
      </c>
      <c r="C109" t="s">
        <v>18</v>
      </c>
      <c r="D109" t="s">
        <v>434</v>
      </c>
      <c r="E109" t="s">
        <v>435</v>
      </c>
      <c r="F109" t="s">
        <v>35</v>
      </c>
      <c r="G109" t="s">
        <v>436</v>
      </c>
      <c r="H109" t="s">
        <v>437</v>
      </c>
      <c r="J109" t="s">
        <v>438</v>
      </c>
      <c r="K109" t="s">
        <v>149</v>
      </c>
      <c r="L109" t="s">
        <v>307</v>
      </c>
      <c r="M109" t="s">
        <v>27</v>
      </c>
      <c r="N109" t="s">
        <v>74</v>
      </c>
      <c r="O109" t="s">
        <v>29</v>
      </c>
      <c r="P109" t="s">
        <v>439</v>
      </c>
      <c r="X109" s="7" t="str">
        <f>_xlfn.XLOOKUP(H109, Sheet3!$E:$E, Sheet3!$B:$B, "")</f>
        <v/>
      </c>
      <c r="Y109" s="7" t="str">
        <f>_xlfn.XLOOKUP(H109, Sheet3!$E:$E, Sheet3!$C:$C, "")</f>
        <v/>
      </c>
      <c r="Z109" s="7" t="str">
        <f>_xlfn.XLOOKUP(H109, Sheet3!$E:$E, Sheet3!$D:$D, "")</f>
        <v/>
      </c>
    </row>
    <row r="110" spans="1:26" x14ac:dyDescent="0.25">
      <c r="A110" t="s">
        <v>433</v>
      </c>
      <c r="B110" t="s">
        <v>31</v>
      </c>
      <c r="C110" t="s">
        <v>18</v>
      </c>
      <c r="D110" t="s">
        <v>440</v>
      </c>
      <c r="E110" t="s">
        <v>435</v>
      </c>
      <c r="F110" t="s">
        <v>35</v>
      </c>
      <c r="G110" t="s">
        <v>436</v>
      </c>
      <c r="J110" t="s">
        <v>192</v>
      </c>
      <c r="K110" t="s">
        <v>149</v>
      </c>
      <c r="L110" t="s">
        <v>307</v>
      </c>
      <c r="M110" t="s">
        <v>27</v>
      </c>
      <c r="N110" t="s">
        <v>74</v>
      </c>
      <c r="O110" t="s">
        <v>29</v>
      </c>
      <c r="P110" t="s">
        <v>439</v>
      </c>
      <c r="X110" s="7">
        <f>_xlfn.XLOOKUP(H110, Sheet3!$E:$E, Sheet3!$B:$B, "")</f>
        <v>0</v>
      </c>
      <c r="Y110" s="7">
        <f>_xlfn.XLOOKUP(H110, Sheet3!$E:$E, Sheet3!$C:$C, "")</f>
        <v>0</v>
      </c>
      <c r="Z110" s="7">
        <f>_xlfn.XLOOKUP(H110, Sheet3!$E:$E, Sheet3!$D:$D, "")</f>
        <v>0</v>
      </c>
    </row>
    <row r="111" spans="1:26" x14ac:dyDescent="0.25">
      <c r="A111" t="s">
        <v>441</v>
      </c>
      <c r="B111" t="s">
        <v>17</v>
      </c>
      <c r="C111" t="s">
        <v>18</v>
      </c>
      <c r="D111" t="s">
        <v>442</v>
      </c>
      <c r="E111" t="s">
        <v>187</v>
      </c>
      <c r="F111" t="s">
        <v>35</v>
      </c>
      <c r="G111" t="s">
        <v>443</v>
      </c>
      <c r="H111" t="s">
        <v>444</v>
      </c>
      <c r="J111" t="s">
        <v>445</v>
      </c>
      <c r="K111" t="s">
        <v>149</v>
      </c>
      <c r="L111" t="s">
        <v>122</v>
      </c>
      <c r="M111" t="s">
        <v>27</v>
      </c>
      <c r="N111" t="s">
        <v>74</v>
      </c>
      <c r="O111" t="s">
        <v>29</v>
      </c>
      <c r="P111" t="s">
        <v>89</v>
      </c>
      <c r="X111" s="7" t="str">
        <f>_xlfn.XLOOKUP(H111, Sheet3!$E:$E, Sheet3!$B:$B, "")</f>
        <v/>
      </c>
      <c r="Y111" s="7" t="str">
        <f>_xlfn.XLOOKUP(H111, Sheet3!$E:$E, Sheet3!$C:$C, "")</f>
        <v/>
      </c>
      <c r="Z111" s="7" t="str">
        <f>_xlfn.XLOOKUP(H111, Sheet3!$E:$E, Sheet3!$D:$D, "")</f>
        <v/>
      </c>
    </row>
    <row r="112" spans="1:26" x14ac:dyDescent="0.25">
      <c r="A112" t="s">
        <v>441</v>
      </c>
      <c r="B112" t="s">
        <v>31</v>
      </c>
      <c r="C112" t="s">
        <v>18</v>
      </c>
      <c r="D112" t="s">
        <v>446</v>
      </c>
      <c r="E112" t="s">
        <v>187</v>
      </c>
      <c r="F112" t="s">
        <v>35</v>
      </c>
      <c r="G112" t="s">
        <v>443</v>
      </c>
      <c r="J112" t="s">
        <v>447</v>
      </c>
      <c r="K112" t="s">
        <v>149</v>
      </c>
      <c r="L112" t="s">
        <v>122</v>
      </c>
      <c r="M112" t="s">
        <v>27</v>
      </c>
      <c r="N112" t="s">
        <v>74</v>
      </c>
      <c r="O112" t="s">
        <v>29</v>
      </c>
      <c r="P112" t="s">
        <v>89</v>
      </c>
      <c r="X112" s="7">
        <f>_xlfn.XLOOKUP(H112, Sheet3!$E:$E, Sheet3!$B:$B, "")</f>
        <v>0</v>
      </c>
      <c r="Y112" s="7">
        <f>_xlfn.XLOOKUP(H112, Sheet3!$E:$E, Sheet3!$C:$C, "")</f>
        <v>0</v>
      </c>
      <c r="Z112" s="7">
        <f>_xlfn.XLOOKUP(H112, Sheet3!$E:$E, Sheet3!$D:$D, "")</f>
        <v>0</v>
      </c>
    </row>
    <row r="113" spans="1:26" x14ac:dyDescent="0.25">
      <c r="A113" t="s">
        <v>448</v>
      </c>
      <c r="B113" t="s">
        <v>17</v>
      </c>
      <c r="C113" t="s">
        <v>18</v>
      </c>
      <c r="D113" t="s">
        <v>449</v>
      </c>
      <c r="E113" t="s">
        <v>187</v>
      </c>
      <c r="F113" t="s">
        <v>35</v>
      </c>
      <c r="G113" t="s">
        <v>450</v>
      </c>
      <c r="H113" t="s">
        <v>451</v>
      </c>
      <c r="J113" t="s">
        <v>445</v>
      </c>
      <c r="K113" t="s">
        <v>149</v>
      </c>
      <c r="L113" t="s">
        <v>452</v>
      </c>
      <c r="M113" t="s">
        <v>27</v>
      </c>
      <c r="N113" t="s">
        <v>74</v>
      </c>
      <c r="O113" t="s">
        <v>29</v>
      </c>
      <c r="P113" t="s">
        <v>89</v>
      </c>
      <c r="X113" s="7" t="str">
        <f>_xlfn.XLOOKUP(H113, Sheet3!$E:$E, Sheet3!$B:$B, "")</f>
        <v/>
      </c>
      <c r="Y113" s="7" t="str">
        <f>_xlfn.XLOOKUP(H113, Sheet3!$E:$E, Sheet3!$C:$C, "")</f>
        <v/>
      </c>
      <c r="Z113" s="7" t="str">
        <f>_xlfn.XLOOKUP(H113, Sheet3!$E:$E, Sheet3!$D:$D, "")</f>
        <v/>
      </c>
    </row>
    <row r="114" spans="1:26" x14ac:dyDescent="0.25">
      <c r="A114" t="s">
        <v>448</v>
      </c>
      <c r="B114" t="s">
        <v>31</v>
      </c>
      <c r="C114" t="s">
        <v>18</v>
      </c>
      <c r="D114" t="s">
        <v>453</v>
      </c>
      <c r="E114" t="s">
        <v>187</v>
      </c>
      <c r="F114" t="s">
        <v>35</v>
      </c>
      <c r="G114" t="s">
        <v>450</v>
      </c>
      <c r="J114" t="s">
        <v>454</v>
      </c>
      <c r="K114" t="s">
        <v>149</v>
      </c>
      <c r="L114" t="s">
        <v>452</v>
      </c>
      <c r="M114" t="s">
        <v>27</v>
      </c>
      <c r="N114" t="s">
        <v>74</v>
      </c>
      <c r="O114" t="s">
        <v>29</v>
      </c>
      <c r="P114" t="s">
        <v>89</v>
      </c>
      <c r="X114" s="7">
        <f>_xlfn.XLOOKUP(H114, Sheet3!$E:$E, Sheet3!$B:$B, "")</f>
        <v>0</v>
      </c>
      <c r="Y114" s="7">
        <f>_xlfn.XLOOKUP(H114, Sheet3!$E:$E, Sheet3!$C:$C, "")</f>
        <v>0</v>
      </c>
      <c r="Z114" s="7">
        <f>_xlfn.XLOOKUP(H114, Sheet3!$E:$E, Sheet3!$D:$D, "")</f>
        <v>0</v>
      </c>
    </row>
    <row r="115" spans="1:26" x14ac:dyDescent="0.25">
      <c r="A115" t="s">
        <v>455</v>
      </c>
      <c r="B115" t="s">
        <v>17</v>
      </c>
      <c r="C115" t="s">
        <v>18</v>
      </c>
      <c r="D115" t="s">
        <v>456</v>
      </c>
      <c r="E115" t="s">
        <v>187</v>
      </c>
      <c r="F115" t="s">
        <v>35</v>
      </c>
      <c r="G115" t="s">
        <v>457</v>
      </c>
      <c r="H115" t="s">
        <v>458</v>
      </c>
      <c r="J115" t="s">
        <v>258</v>
      </c>
      <c r="K115" t="s">
        <v>149</v>
      </c>
      <c r="L115" t="s">
        <v>122</v>
      </c>
      <c r="M115" t="s">
        <v>27</v>
      </c>
      <c r="N115" t="s">
        <v>74</v>
      </c>
      <c r="O115" t="s">
        <v>29</v>
      </c>
      <c r="P115" t="s">
        <v>89</v>
      </c>
      <c r="X115" s="7" t="str">
        <f>_xlfn.XLOOKUP(H115, Sheet3!$E:$E, Sheet3!$B:$B, "")</f>
        <v/>
      </c>
      <c r="Y115" s="7" t="str">
        <f>_xlfn.XLOOKUP(H115, Sheet3!$E:$E, Sheet3!$C:$C, "")</f>
        <v/>
      </c>
      <c r="Z115" s="7" t="str">
        <f>_xlfn.XLOOKUP(H115, Sheet3!$E:$E, Sheet3!$D:$D, "")</f>
        <v/>
      </c>
    </row>
    <row r="116" spans="1:26" x14ac:dyDescent="0.25">
      <c r="A116" t="s">
        <v>455</v>
      </c>
      <c r="B116" t="s">
        <v>31</v>
      </c>
      <c r="C116" t="s">
        <v>18</v>
      </c>
      <c r="D116" t="s">
        <v>459</v>
      </c>
      <c r="E116" t="s">
        <v>187</v>
      </c>
      <c r="F116" t="s">
        <v>35</v>
      </c>
      <c r="G116" t="s">
        <v>457</v>
      </c>
      <c r="J116" t="s">
        <v>460</v>
      </c>
      <c r="K116" t="s">
        <v>149</v>
      </c>
      <c r="L116" t="s">
        <v>122</v>
      </c>
      <c r="M116" t="s">
        <v>27</v>
      </c>
      <c r="N116" t="s">
        <v>74</v>
      </c>
      <c r="O116" t="s">
        <v>29</v>
      </c>
      <c r="P116" t="s">
        <v>89</v>
      </c>
      <c r="X116" s="7" t="str">
        <f>_xlfn.XLOOKUP(H116, Sheet3!$E:$E, Sheet3!$B:$B, "")</f>
        <v/>
      </c>
      <c r="Y116" s="7" t="str">
        <f>_xlfn.XLOOKUP(H116, Sheet3!$E:$E, Sheet3!$C:$C, "")</f>
        <v/>
      </c>
      <c r="Z116" s="7" t="str">
        <f>_xlfn.XLOOKUP(H116, Sheet3!$E:$E, Sheet3!$D:$D, "")</f>
        <v/>
      </c>
    </row>
    <row r="117" spans="1:26" x14ac:dyDescent="0.25">
      <c r="A117" t="s">
        <v>461</v>
      </c>
      <c r="B117" t="s">
        <v>17</v>
      </c>
      <c r="C117" t="s">
        <v>18</v>
      </c>
      <c r="D117" t="s">
        <v>462</v>
      </c>
      <c r="E117" t="s">
        <v>187</v>
      </c>
      <c r="F117" t="s">
        <v>35</v>
      </c>
      <c r="G117" t="s">
        <v>463</v>
      </c>
      <c r="H117" t="s">
        <v>464</v>
      </c>
      <c r="J117" t="s">
        <v>465</v>
      </c>
      <c r="K117" t="s">
        <v>149</v>
      </c>
      <c r="L117" t="s">
        <v>466</v>
      </c>
      <c r="M117" t="s">
        <v>27</v>
      </c>
      <c r="N117" t="s">
        <v>74</v>
      </c>
      <c r="O117" t="s">
        <v>29</v>
      </c>
      <c r="P117" t="s">
        <v>89</v>
      </c>
      <c r="X117" s="7" t="str">
        <f>_xlfn.XLOOKUP(H117, Sheet3!$E:$E, Sheet3!$B:$B, "")</f>
        <v/>
      </c>
      <c r="Y117" s="7" t="str">
        <f>_xlfn.XLOOKUP(H117, Sheet3!$E:$E, Sheet3!$C:$C, "")</f>
        <v/>
      </c>
      <c r="Z117" s="7" t="str">
        <f>_xlfn.XLOOKUP(H117, Sheet3!$E:$E, Sheet3!$D:$D, "")</f>
        <v/>
      </c>
    </row>
    <row r="118" spans="1:26" x14ac:dyDescent="0.25">
      <c r="A118" t="s">
        <v>461</v>
      </c>
      <c r="B118" t="s">
        <v>31</v>
      </c>
      <c r="C118" t="s">
        <v>18</v>
      </c>
      <c r="D118" t="s">
        <v>467</v>
      </c>
      <c r="E118" t="s">
        <v>187</v>
      </c>
      <c r="F118" t="s">
        <v>35</v>
      </c>
      <c r="G118" t="s">
        <v>463</v>
      </c>
      <c r="J118" t="s">
        <v>468</v>
      </c>
      <c r="K118" t="s">
        <v>149</v>
      </c>
      <c r="L118" t="s">
        <v>469</v>
      </c>
      <c r="M118" t="s">
        <v>27</v>
      </c>
      <c r="N118" t="s">
        <v>74</v>
      </c>
      <c r="O118" t="s">
        <v>29</v>
      </c>
      <c r="P118" t="s">
        <v>89</v>
      </c>
      <c r="X118" s="7" t="str">
        <f>_xlfn.XLOOKUP(H118, Sheet3!$E:$E, Sheet3!$B:$B, "")</f>
        <v/>
      </c>
      <c r="Y118" s="7" t="str">
        <f>_xlfn.XLOOKUP(H118, Sheet3!$E:$E, Sheet3!$C:$C, "")</f>
        <v/>
      </c>
      <c r="Z118" s="7" t="str">
        <f>_xlfn.XLOOKUP(H118, Sheet3!$E:$E, Sheet3!$D:$D, "")</f>
        <v/>
      </c>
    </row>
    <row r="119" spans="1:26" x14ac:dyDescent="0.25">
      <c r="A119" t="s">
        <v>470</v>
      </c>
      <c r="B119" t="s">
        <v>17</v>
      </c>
      <c r="C119" t="s">
        <v>18</v>
      </c>
      <c r="D119" t="s">
        <v>471</v>
      </c>
      <c r="E119" t="s">
        <v>187</v>
      </c>
      <c r="F119" t="s">
        <v>35</v>
      </c>
      <c r="G119" t="s">
        <v>472</v>
      </c>
      <c r="H119" t="s">
        <v>473</v>
      </c>
      <c r="J119" t="s">
        <v>460</v>
      </c>
      <c r="K119" t="s">
        <v>149</v>
      </c>
      <c r="L119" t="s">
        <v>122</v>
      </c>
      <c r="M119" t="s">
        <v>27</v>
      </c>
      <c r="N119" t="s">
        <v>74</v>
      </c>
      <c r="O119" t="s">
        <v>29</v>
      </c>
      <c r="P119" t="s">
        <v>89</v>
      </c>
      <c r="X119" s="7" t="str">
        <f>_xlfn.XLOOKUP(H119, Sheet3!$E:$E, Sheet3!$B:$B, "")</f>
        <v/>
      </c>
      <c r="Y119" s="7" t="str">
        <f>_xlfn.XLOOKUP(H119, Sheet3!$E:$E, Sheet3!$C:$C, "")</f>
        <v/>
      </c>
      <c r="Z119" s="7" t="str">
        <f>_xlfn.XLOOKUP(H119, Sheet3!$E:$E, Sheet3!$D:$D, "")</f>
        <v/>
      </c>
    </row>
    <row r="120" spans="1:26" x14ac:dyDescent="0.25">
      <c r="A120" t="s">
        <v>470</v>
      </c>
      <c r="B120" t="s">
        <v>31</v>
      </c>
      <c r="C120" t="s">
        <v>18</v>
      </c>
      <c r="D120" t="s">
        <v>474</v>
      </c>
      <c r="E120" t="s">
        <v>187</v>
      </c>
      <c r="F120" t="s">
        <v>35</v>
      </c>
      <c r="G120" t="s">
        <v>472</v>
      </c>
      <c r="J120" t="s">
        <v>475</v>
      </c>
      <c r="K120" t="s">
        <v>149</v>
      </c>
      <c r="L120" t="s">
        <v>122</v>
      </c>
      <c r="M120" t="s">
        <v>27</v>
      </c>
      <c r="N120" t="s">
        <v>74</v>
      </c>
      <c r="O120" t="s">
        <v>29</v>
      </c>
      <c r="P120" t="s">
        <v>89</v>
      </c>
      <c r="X120" s="7" t="str">
        <f>_xlfn.XLOOKUP(H120, Sheet3!$E:$E, Sheet3!$B:$B, "")</f>
        <v/>
      </c>
      <c r="Y120" s="7" t="str">
        <f>_xlfn.XLOOKUP(H120, Sheet3!$E:$E, Sheet3!$C:$C, "")</f>
        <v/>
      </c>
      <c r="Z120" s="7" t="str">
        <f>_xlfn.XLOOKUP(H120, Sheet3!$E:$E, Sheet3!$D:$D, "")</f>
        <v/>
      </c>
    </row>
    <row r="121" spans="1:26" x14ac:dyDescent="0.25">
      <c r="A121" t="s">
        <v>476</v>
      </c>
      <c r="B121" t="s">
        <v>17</v>
      </c>
      <c r="C121" t="s">
        <v>18</v>
      </c>
      <c r="D121" t="s">
        <v>477</v>
      </c>
      <c r="E121" t="s">
        <v>187</v>
      </c>
      <c r="F121" t="s">
        <v>35</v>
      </c>
      <c r="G121" t="s">
        <v>478</v>
      </c>
      <c r="H121" t="s">
        <v>479</v>
      </c>
      <c r="J121" t="s">
        <v>475</v>
      </c>
      <c r="K121" t="s">
        <v>149</v>
      </c>
      <c r="L121" t="s">
        <v>480</v>
      </c>
      <c r="M121" t="s">
        <v>27</v>
      </c>
      <c r="N121" t="s">
        <v>74</v>
      </c>
      <c r="O121" t="s">
        <v>29</v>
      </c>
      <c r="P121" t="s">
        <v>89</v>
      </c>
      <c r="X121" s="7" t="str">
        <f>_xlfn.XLOOKUP(H121, Sheet3!$E:$E, Sheet3!$B:$B, "")</f>
        <v/>
      </c>
      <c r="Y121" s="7" t="str">
        <f>_xlfn.XLOOKUP(H121, Sheet3!$E:$E, Sheet3!$C:$C, "")</f>
        <v/>
      </c>
      <c r="Z121" s="7" t="str">
        <f>_xlfn.XLOOKUP(H121, Sheet3!$E:$E, Sheet3!$D:$D, "")</f>
        <v/>
      </c>
    </row>
    <row r="122" spans="1:26" x14ac:dyDescent="0.25">
      <c r="A122" t="s">
        <v>476</v>
      </c>
      <c r="B122" t="s">
        <v>31</v>
      </c>
      <c r="C122" t="s">
        <v>18</v>
      </c>
      <c r="D122" t="s">
        <v>481</v>
      </c>
      <c r="E122" t="s">
        <v>187</v>
      </c>
      <c r="F122" t="s">
        <v>35</v>
      </c>
      <c r="G122" t="s">
        <v>478</v>
      </c>
      <c r="J122" t="s">
        <v>460</v>
      </c>
      <c r="K122" t="s">
        <v>149</v>
      </c>
      <c r="L122" t="s">
        <v>482</v>
      </c>
      <c r="M122" t="s">
        <v>27</v>
      </c>
      <c r="N122" t="s">
        <v>74</v>
      </c>
      <c r="O122" t="s">
        <v>29</v>
      </c>
      <c r="P122" t="s">
        <v>89</v>
      </c>
      <c r="X122" s="7">
        <f>_xlfn.XLOOKUP(H122, Sheet3!$E:$E, Sheet3!$B:$B, "")</f>
        <v>0</v>
      </c>
      <c r="Y122" s="7">
        <f>_xlfn.XLOOKUP(H122, Sheet3!$E:$E, Sheet3!$C:$C, "")</f>
        <v>0</v>
      </c>
      <c r="Z122" s="7">
        <f>_xlfn.XLOOKUP(H122, Sheet3!$E:$E, Sheet3!$D:$D, "")</f>
        <v>0</v>
      </c>
    </row>
    <row r="123" spans="1:26" x14ac:dyDescent="0.25">
      <c r="A123" t="s">
        <v>483</v>
      </c>
      <c r="B123" t="s">
        <v>17</v>
      </c>
      <c r="C123" t="s">
        <v>18</v>
      </c>
      <c r="D123" t="s">
        <v>484</v>
      </c>
      <c r="E123" t="s">
        <v>187</v>
      </c>
      <c r="F123" t="s">
        <v>35</v>
      </c>
      <c r="G123" t="s">
        <v>485</v>
      </c>
      <c r="H123" t="s">
        <v>486</v>
      </c>
      <c r="J123" t="s">
        <v>465</v>
      </c>
      <c r="K123" t="s">
        <v>149</v>
      </c>
      <c r="L123" t="s">
        <v>122</v>
      </c>
      <c r="M123" t="s">
        <v>27</v>
      </c>
      <c r="N123" t="s">
        <v>74</v>
      </c>
      <c r="O123" t="s">
        <v>29</v>
      </c>
      <c r="P123" t="s">
        <v>89</v>
      </c>
      <c r="X123" s="7" t="str">
        <f>_xlfn.XLOOKUP(H123, Sheet3!$E:$E, Sheet3!$B:$B, "")</f>
        <v/>
      </c>
      <c r="Y123" s="7" t="str">
        <f>_xlfn.XLOOKUP(H123, Sheet3!$E:$E, Sheet3!$C:$C, "")</f>
        <v/>
      </c>
      <c r="Z123" s="7" t="str">
        <f>_xlfn.XLOOKUP(H123, Sheet3!$E:$E, Sheet3!$D:$D, "")</f>
        <v/>
      </c>
    </row>
    <row r="124" spans="1:26" x14ac:dyDescent="0.25">
      <c r="A124" t="s">
        <v>483</v>
      </c>
      <c r="B124" t="s">
        <v>31</v>
      </c>
      <c r="C124" t="s">
        <v>18</v>
      </c>
      <c r="D124" t="s">
        <v>487</v>
      </c>
      <c r="E124" t="s">
        <v>187</v>
      </c>
      <c r="F124" t="s">
        <v>35</v>
      </c>
      <c r="G124" t="s">
        <v>485</v>
      </c>
      <c r="J124" t="s">
        <v>488</v>
      </c>
      <c r="K124" t="s">
        <v>149</v>
      </c>
      <c r="L124" t="s">
        <v>122</v>
      </c>
      <c r="M124" t="s">
        <v>27</v>
      </c>
      <c r="N124" t="s">
        <v>74</v>
      </c>
      <c r="O124" t="s">
        <v>29</v>
      </c>
      <c r="P124" t="s">
        <v>89</v>
      </c>
      <c r="X124" s="7">
        <f>_xlfn.XLOOKUP(H124, Sheet3!$E:$E, Sheet3!$B:$B, "")</f>
        <v>0</v>
      </c>
      <c r="Y124" s="7">
        <f>_xlfn.XLOOKUP(H124, Sheet3!$E:$E, Sheet3!$C:$C, "")</f>
        <v>0</v>
      </c>
      <c r="Z124" s="7">
        <f>_xlfn.XLOOKUP(H124, Sheet3!$E:$E, Sheet3!$D:$D, "")</f>
        <v>0</v>
      </c>
    </row>
    <row r="125" spans="1:26" x14ac:dyDescent="0.25">
      <c r="A125" t="s">
        <v>489</v>
      </c>
      <c r="B125" t="s">
        <v>17</v>
      </c>
      <c r="C125" t="s">
        <v>18</v>
      </c>
      <c r="D125" t="s">
        <v>490</v>
      </c>
      <c r="E125" t="s">
        <v>187</v>
      </c>
      <c r="F125" t="s">
        <v>35</v>
      </c>
      <c r="G125" t="s">
        <v>491</v>
      </c>
      <c r="H125" t="s">
        <v>492</v>
      </c>
      <c r="J125" t="s">
        <v>475</v>
      </c>
      <c r="K125" t="s">
        <v>149</v>
      </c>
      <c r="L125" t="s">
        <v>493</v>
      </c>
      <c r="M125" t="s">
        <v>27</v>
      </c>
      <c r="N125" t="s">
        <v>74</v>
      </c>
      <c r="O125" t="s">
        <v>29</v>
      </c>
      <c r="P125" t="s">
        <v>89</v>
      </c>
      <c r="X125" s="7" t="str">
        <f>_xlfn.XLOOKUP(H125, Sheet3!$E:$E, Sheet3!$B:$B, "")</f>
        <v/>
      </c>
      <c r="Y125" s="7" t="str">
        <f>_xlfn.XLOOKUP(H125, Sheet3!$E:$E, Sheet3!$C:$C, "")</f>
        <v/>
      </c>
      <c r="Z125" s="7" t="str">
        <f>_xlfn.XLOOKUP(H125, Sheet3!$E:$E, Sheet3!$D:$D, "")</f>
        <v/>
      </c>
    </row>
    <row r="126" spans="1:26" x14ac:dyDescent="0.25">
      <c r="A126" t="s">
        <v>489</v>
      </c>
      <c r="B126" t="s">
        <v>31</v>
      </c>
      <c r="C126" t="s">
        <v>18</v>
      </c>
      <c r="D126" t="s">
        <v>494</v>
      </c>
      <c r="E126" t="s">
        <v>187</v>
      </c>
      <c r="F126" t="s">
        <v>35</v>
      </c>
      <c r="G126" t="s">
        <v>491</v>
      </c>
      <c r="J126" t="s">
        <v>495</v>
      </c>
      <c r="K126" t="s">
        <v>149</v>
      </c>
      <c r="L126" t="s">
        <v>496</v>
      </c>
      <c r="M126" t="s">
        <v>27</v>
      </c>
      <c r="N126" t="s">
        <v>74</v>
      </c>
      <c r="O126" t="s">
        <v>29</v>
      </c>
      <c r="P126" t="s">
        <v>89</v>
      </c>
      <c r="X126" s="7">
        <f>_xlfn.XLOOKUP(H126, Sheet3!$E:$E, Sheet3!$B:$B, "")</f>
        <v>0</v>
      </c>
      <c r="Y126" s="7">
        <f>_xlfn.XLOOKUP(H126, Sheet3!$E:$E, Sheet3!$C:$C, "")</f>
        <v>0</v>
      </c>
      <c r="Z126" s="7">
        <f>_xlfn.XLOOKUP(H126, Sheet3!$E:$E, Sheet3!$D:$D, "")</f>
        <v>0</v>
      </c>
    </row>
    <row r="127" spans="1:26" x14ac:dyDescent="0.25">
      <c r="A127" t="s">
        <v>497</v>
      </c>
      <c r="B127" t="s">
        <v>17</v>
      </c>
      <c r="C127" t="s">
        <v>18</v>
      </c>
      <c r="D127" t="s">
        <v>498</v>
      </c>
      <c r="E127" t="s">
        <v>187</v>
      </c>
      <c r="F127" t="s">
        <v>35</v>
      </c>
      <c r="G127" t="s">
        <v>499</v>
      </c>
      <c r="H127" t="s">
        <v>500</v>
      </c>
      <c r="J127" t="s">
        <v>501</v>
      </c>
      <c r="K127" t="s">
        <v>149</v>
      </c>
      <c r="L127" t="s">
        <v>122</v>
      </c>
      <c r="M127" t="s">
        <v>27</v>
      </c>
      <c r="N127" t="s">
        <v>74</v>
      </c>
      <c r="O127" t="s">
        <v>29</v>
      </c>
      <c r="P127" t="s">
        <v>89</v>
      </c>
      <c r="X127" s="7" t="str">
        <f>_xlfn.XLOOKUP(H127, Sheet3!$E:$E, Sheet3!$B:$B, "")</f>
        <v/>
      </c>
      <c r="Y127" s="7" t="str">
        <f>_xlfn.XLOOKUP(H127, Sheet3!$E:$E, Sheet3!$C:$C, "")</f>
        <v/>
      </c>
      <c r="Z127" s="7" t="str">
        <f>_xlfn.XLOOKUP(H127, Sheet3!$E:$E, Sheet3!$D:$D, "")</f>
        <v/>
      </c>
    </row>
    <row r="128" spans="1:26" x14ac:dyDescent="0.25">
      <c r="A128" t="s">
        <v>497</v>
      </c>
      <c r="B128" t="s">
        <v>31</v>
      </c>
      <c r="C128" t="s">
        <v>18</v>
      </c>
      <c r="D128" t="s">
        <v>502</v>
      </c>
      <c r="E128" t="s">
        <v>187</v>
      </c>
      <c r="F128" t="s">
        <v>35</v>
      </c>
      <c r="G128" t="s">
        <v>499</v>
      </c>
      <c r="J128" t="s">
        <v>503</v>
      </c>
      <c r="K128" t="s">
        <v>149</v>
      </c>
      <c r="L128" t="s">
        <v>122</v>
      </c>
      <c r="M128" t="s">
        <v>27</v>
      </c>
      <c r="N128" t="s">
        <v>74</v>
      </c>
      <c r="O128" t="s">
        <v>29</v>
      </c>
      <c r="P128" t="s">
        <v>89</v>
      </c>
      <c r="X128" s="7">
        <f>_xlfn.XLOOKUP(H128, Sheet3!$E:$E, Sheet3!$B:$B, "")</f>
        <v>0</v>
      </c>
      <c r="Y128" s="7">
        <f>_xlfn.XLOOKUP(H128, Sheet3!$E:$E, Sheet3!$C:$C, "")</f>
        <v>0</v>
      </c>
      <c r="Z128" s="7">
        <f>_xlfn.XLOOKUP(H128, Sheet3!$E:$E, Sheet3!$D:$D, "")</f>
        <v>0</v>
      </c>
    </row>
    <row r="129" spans="1:26" x14ac:dyDescent="0.25">
      <c r="A129" t="s">
        <v>504</v>
      </c>
      <c r="B129" t="s">
        <v>17</v>
      </c>
      <c r="C129" t="s">
        <v>18</v>
      </c>
      <c r="D129" t="s">
        <v>505</v>
      </c>
      <c r="E129" t="s">
        <v>187</v>
      </c>
      <c r="F129" t="s">
        <v>35</v>
      </c>
      <c r="G129" t="s">
        <v>506</v>
      </c>
      <c r="H129" t="s">
        <v>507</v>
      </c>
      <c r="J129" t="s">
        <v>508</v>
      </c>
      <c r="K129" t="s">
        <v>149</v>
      </c>
      <c r="L129" t="s">
        <v>509</v>
      </c>
      <c r="M129" t="s">
        <v>27</v>
      </c>
      <c r="N129" t="s">
        <v>74</v>
      </c>
      <c r="O129" t="s">
        <v>29</v>
      </c>
      <c r="P129" t="s">
        <v>510</v>
      </c>
      <c r="X129" s="7" t="str">
        <f>_xlfn.XLOOKUP(H129, Sheet3!$E:$E, Sheet3!$B:$B, "")</f>
        <v/>
      </c>
      <c r="Y129" s="7" t="str">
        <f>_xlfn.XLOOKUP(H129, Sheet3!$E:$E, Sheet3!$C:$C, "")</f>
        <v/>
      </c>
      <c r="Z129" s="7" t="str">
        <f>_xlfn.XLOOKUP(H129, Sheet3!$E:$E, Sheet3!$D:$D, "")</f>
        <v/>
      </c>
    </row>
    <row r="130" spans="1:26" x14ac:dyDescent="0.25">
      <c r="A130" t="s">
        <v>504</v>
      </c>
      <c r="B130" t="s">
        <v>31</v>
      </c>
      <c r="C130" t="s">
        <v>18</v>
      </c>
      <c r="D130" t="s">
        <v>511</v>
      </c>
      <c r="E130" t="s">
        <v>187</v>
      </c>
      <c r="F130" t="s">
        <v>35</v>
      </c>
      <c r="G130" t="s">
        <v>506</v>
      </c>
      <c r="J130" t="s">
        <v>512</v>
      </c>
      <c r="K130" t="s">
        <v>149</v>
      </c>
      <c r="L130" t="s">
        <v>509</v>
      </c>
      <c r="M130" t="s">
        <v>27</v>
      </c>
      <c r="N130" t="s">
        <v>74</v>
      </c>
      <c r="O130" t="s">
        <v>29</v>
      </c>
      <c r="P130" t="s">
        <v>510</v>
      </c>
      <c r="X130" s="7">
        <f>_xlfn.XLOOKUP(H130, Sheet3!$E:$E, Sheet3!$B:$B, "")</f>
        <v>0</v>
      </c>
      <c r="Y130" s="7">
        <f>_xlfn.XLOOKUP(H130, Sheet3!$E:$E, Sheet3!$C:$C, "")</f>
        <v>0</v>
      </c>
      <c r="Z130" s="7">
        <f>_xlfn.XLOOKUP(H130, Sheet3!$E:$E, Sheet3!$D:$D, "")</f>
        <v>0</v>
      </c>
    </row>
    <row r="131" spans="1:26" x14ac:dyDescent="0.25">
      <c r="A131" t="s">
        <v>513</v>
      </c>
      <c r="B131" t="s">
        <v>17</v>
      </c>
      <c r="C131" t="s">
        <v>18</v>
      </c>
      <c r="D131" t="s">
        <v>514</v>
      </c>
      <c r="E131" t="s">
        <v>187</v>
      </c>
      <c r="F131" t="s">
        <v>35</v>
      </c>
      <c r="G131" t="s">
        <v>515</v>
      </c>
      <c r="H131" t="s">
        <v>516</v>
      </c>
      <c r="J131" t="s">
        <v>517</v>
      </c>
      <c r="K131" t="s">
        <v>149</v>
      </c>
      <c r="L131" t="s">
        <v>122</v>
      </c>
      <c r="M131" t="s">
        <v>27</v>
      </c>
      <c r="N131" t="s">
        <v>74</v>
      </c>
      <c r="O131" t="s">
        <v>29</v>
      </c>
      <c r="P131" t="s">
        <v>89</v>
      </c>
      <c r="X131" s="7" t="str">
        <f>_xlfn.XLOOKUP(H131, Sheet3!$E:$E, Sheet3!$B:$B, "")</f>
        <v/>
      </c>
      <c r="Y131" s="7" t="str">
        <f>_xlfn.XLOOKUP(H131, Sheet3!$E:$E, Sheet3!$C:$C, "")</f>
        <v/>
      </c>
      <c r="Z131" s="7" t="str">
        <f>_xlfn.XLOOKUP(H131, Sheet3!$E:$E, Sheet3!$D:$D, "")</f>
        <v/>
      </c>
    </row>
    <row r="132" spans="1:26" x14ac:dyDescent="0.25">
      <c r="A132" t="s">
        <v>513</v>
      </c>
      <c r="B132" t="s">
        <v>31</v>
      </c>
      <c r="C132" t="s">
        <v>18</v>
      </c>
      <c r="D132" t="s">
        <v>518</v>
      </c>
      <c r="E132" t="s">
        <v>187</v>
      </c>
      <c r="F132" t="s">
        <v>35</v>
      </c>
      <c r="G132" t="s">
        <v>515</v>
      </c>
      <c r="J132" t="s">
        <v>495</v>
      </c>
      <c r="K132" t="s">
        <v>149</v>
      </c>
      <c r="L132" t="s">
        <v>122</v>
      </c>
      <c r="M132" t="s">
        <v>27</v>
      </c>
      <c r="N132" t="s">
        <v>74</v>
      </c>
      <c r="O132" t="s">
        <v>29</v>
      </c>
      <c r="P132" t="s">
        <v>89</v>
      </c>
      <c r="X132" s="7" t="str">
        <f>_xlfn.XLOOKUP(H132, Sheet3!$E:$E, Sheet3!$B:$B, "")</f>
        <v/>
      </c>
      <c r="Y132" s="7" t="str">
        <f>_xlfn.XLOOKUP(H132, Sheet3!$E:$E, Sheet3!$C:$C, "")</f>
        <v/>
      </c>
      <c r="Z132" s="7" t="str">
        <f>_xlfn.XLOOKUP(H132, Sheet3!$E:$E, Sheet3!$D:$D, "")</f>
        <v/>
      </c>
    </row>
    <row r="133" spans="1:26" x14ac:dyDescent="0.25">
      <c r="A133" t="s">
        <v>519</v>
      </c>
      <c r="B133" t="s">
        <v>17</v>
      </c>
      <c r="C133" t="s">
        <v>18</v>
      </c>
      <c r="D133" t="s">
        <v>520</v>
      </c>
      <c r="E133" t="s">
        <v>187</v>
      </c>
      <c r="F133" t="s">
        <v>35</v>
      </c>
      <c r="G133" t="s">
        <v>521</v>
      </c>
      <c r="H133" t="s">
        <v>522</v>
      </c>
      <c r="J133" t="s">
        <v>523</v>
      </c>
      <c r="K133" t="s">
        <v>149</v>
      </c>
      <c r="L133" t="s">
        <v>524</v>
      </c>
      <c r="M133" t="s">
        <v>27</v>
      </c>
      <c r="N133" t="s">
        <v>74</v>
      </c>
      <c r="O133" t="s">
        <v>29</v>
      </c>
      <c r="P133" t="s">
        <v>89</v>
      </c>
      <c r="X133" s="7" t="str">
        <f>_xlfn.XLOOKUP(H133, Sheet3!$E:$E, Sheet3!$B:$B, "")</f>
        <v/>
      </c>
      <c r="Y133" s="7" t="str">
        <f>_xlfn.XLOOKUP(H133, Sheet3!$E:$E, Sheet3!$C:$C, "")</f>
        <v/>
      </c>
      <c r="Z133" s="7" t="str">
        <f>_xlfn.XLOOKUP(H133, Sheet3!$E:$E, Sheet3!$D:$D, "")</f>
        <v/>
      </c>
    </row>
    <row r="134" spans="1:26" x14ac:dyDescent="0.25">
      <c r="A134" t="s">
        <v>519</v>
      </c>
      <c r="B134" t="s">
        <v>31</v>
      </c>
      <c r="C134" t="s">
        <v>18</v>
      </c>
      <c r="D134" t="s">
        <v>525</v>
      </c>
      <c r="E134" t="s">
        <v>187</v>
      </c>
      <c r="F134" t="s">
        <v>35</v>
      </c>
      <c r="G134" t="s">
        <v>521</v>
      </c>
      <c r="J134" t="s">
        <v>526</v>
      </c>
      <c r="K134" t="s">
        <v>149</v>
      </c>
      <c r="L134" t="s">
        <v>527</v>
      </c>
      <c r="M134" t="s">
        <v>27</v>
      </c>
      <c r="N134" t="s">
        <v>74</v>
      </c>
      <c r="O134" t="s">
        <v>29</v>
      </c>
      <c r="P134" t="s">
        <v>89</v>
      </c>
      <c r="X134" s="7" t="str">
        <f>_xlfn.XLOOKUP(H134, Sheet3!$E:$E, Sheet3!$B:$B, "")</f>
        <v/>
      </c>
      <c r="Y134" s="7" t="str">
        <f>_xlfn.XLOOKUP(H134, Sheet3!$E:$E, Sheet3!$C:$C, "")</f>
        <v/>
      </c>
      <c r="Z134" s="7" t="str">
        <f>_xlfn.XLOOKUP(H134, Sheet3!$E:$E, Sheet3!$D:$D, "")</f>
        <v/>
      </c>
    </row>
    <row r="135" spans="1:26" x14ac:dyDescent="0.25">
      <c r="A135" t="s">
        <v>528</v>
      </c>
      <c r="B135" t="s">
        <v>17</v>
      </c>
      <c r="C135" t="s">
        <v>18</v>
      </c>
      <c r="D135" t="s">
        <v>529</v>
      </c>
      <c r="E135" t="s">
        <v>187</v>
      </c>
      <c r="F135" t="s">
        <v>35</v>
      </c>
      <c r="G135" t="s">
        <v>530</v>
      </c>
      <c r="H135" t="s">
        <v>531</v>
      </c>
      <c r="J135" t="s">
        <v>532</v>
      </c>
      <c r="K135" t="s">
        <v>149</v>
      </c>
      <c r="L135" t="s">
        <v>95</v>
      </c>
      <c r="M135" t="s">
        <v>27</v>
      </c>
      <c r="N135" t="s">
        <v>74</v>
      </c>
      <c r="O135" t="s">
        <v>29</v>
      </c>
      <c r="P135" t="s">
        <v>89</v>
      </c>
      <c r="X135" s="7" t="str">
        <f>_xlfn.XLOOKUP(H135, Sheet3!$E:$E, Sheet3!$B:$B, "")</f>
        <v/>
      </c>
      <c r="Y135" s="7" t="str">
        <f>_xlfn.XLOOKUP(H135, Sheet3!$E:$E, Sheet3!$C:$C, "")</f>
        <v/>
      </c>
      <c r="Z135" s="7" t="str">
        <f>_xlfn.XLOOKUP(H135, Sheet3!$E:$E, Sheet3!$D:$D, "")</f>
        <v/>
      </c>
    </row>
    <row r="136" spans="1:26" x14ac:dyDescent="0.25">
      <c r="A136" t="s">
        <v>528</v>
      </c>
      <c r="B136" t="s">
        <v>31</v>
      </c>
      <c r="C136" t="s">
        <v>18</v>
      </c>
      <c r="D136" t="s">
        <v>533</v>
      </c>
      <c r="E136" t="s">
        <v>187</v>
      </c>
      <c r="F136" t="s">
        <v>35</v>
      </c>
      <c r="G136" t="s">
        <v>530</v>
      </c>
      <c r="J136" t="s">
        <v>534</v>
      </c>
      <c r="K136" t="s">
        <v>149</v>
      </c>
      <c r="L136" t="s">
        <v>95</v>
      </c>
      <c r="M136" t="s">
        <v>27</v>
      </c>
      <c r="N136" t="s">
        <v>74</v>
      </c>
      <c r="O136" t="s">
        <v>29</v>
      </c>
      <c r="P136" t="s">
        <v>89</v>
      </c>
      <c r="X136" s="7" t="str">
        <f>_xlfn.XLOOKUP(H136, Sheet3!$E:$E, Sheet3!$B:$B, "")</f>
        <v/>
      </c>
      <c r="Y136" s="7" t="str">
        <f>_xlfn.XLOOKUP(H136, Sheet3!$E:$E, Sheet3!$C:$C, "")</f>
        <v/>
      </c>
      <c r="Z136" s="7" t="str">
        <f>_xlfn.XLOOKUP(H136, Sheet3!$E:$E, Sheet3!$D:$D, "")</f>
        <v/>
      </c>
    </row>
    <row r="137" spans="1:26" x14ac:dyDescent="0.25">
      <c r="A137" t="s">
        <v>535</v>
      </c>
      <c r="B137" t="s">
        <v>17</v>
      </c>
      <c r="C137" t="s">
        <v>18</v>
      </c>
      <c r="D137" t="s">
        <v>536</v>
      </c>
      <c r="E137" t="s">
        <v>187</v>
      </c>
      <c r="F137" t="s">
        <v>35</v>
      </c>
      <c r="G137" t="s">
        <v>537</v>
      </c>
      <c r="H137" t="s">
        <v>538</v>
      </c>
      <c r="J137" t="s">
        <v>539</v>
      </c>
      <c r="K137" t="s">
        <v>149</v>
      </c>
      <c r="L137" t="s">
        <v>540</v>
      </c>
      <c r="M137" t="s">
        <v>27</v>
      </c>
      <c r="N137" t="s">
        <v>74</v>
      </c>
      <c r="O137" t="s">
        <v>29</v>
      </c>
      <c r="P137" t="s">
        <v>89</v>
      </c>
      <c r="X137" s="7" t="str">
        <f>_xlfn.XLOOKUP(H137, Sheet3!$E:$E, Sheet3!$B:$B, "")</f>
        <v/>
      </c>
      <c r="Y137" s="7" t="str">
        <f>_xlfn.XLOOKUP(H137, Sheet3!$E:$E, Sheet3!$C:$C, "")</f>
        <v/>
      </c>
      <c r="Z137" s="7" t="str">
        <f>_xlfn.XLOOKUP(H137, Sheet3!$E:$E, Sheet3!$D:$D, "")</f>
        <v/>
      </c>
    </row>
    <row r="138" spans="1:26" x14ac:dyDescent="0.25">
      <c r="A138" t="s">
        <v>535</v>
      </c>
      <c r="B138" t="s">
        <v>31</v>
      </c>
      <c r="C138" t="s">
        <v>18</v>
      </c>
      <c r="D138" t="s">
        <v>541</v>
      </c>
      <c r="E138" t="s">
        <v>187</v>
      </c>
      <c r="F138" t="s">
        <v>35</v>
      </c>
      <c r="G138" t="s">
        <v>537</v>
      </c>
      <c r="J138" t="s">
        <v>542</v>
      </c>
      <c r="K138" t="s">
        <v>149</v>
      </c>
      <c r="L138" t="s">
        <v>543</v>
      </c>
      <c r="M138" t="s">
        <v>27</v>
      </c>
      <c r="N138" t="s">
        <v>74</v>
      </c>
      <c r="O138" t="s">
        <v>29</v>
      </c>
      <c r="P138" t="s">
        <v>89</v>
      </c>
      <c r="X138" s="7">
        <f>_xlfn.XLOOKUP(H138, Sheet3!$E:$E, Sheet3!$B:$B, "")</f>
        <v>0</v>
      </c>
      <c r="Y138" s="7">
        <f>_xlfn.XLOOKUP(H138, Sheet3!$E:$E, Sheet3!$C:$C, "")</f>
        <v>0</v>
      </c>
      <c r="Z138" s="7">
        <f>_xlfn.XLOOKUP(H138, Sheet3!$E:$E, Sheet3!$D:$D, "")</f>
        <v>0</v>
      </c>
    </row>
    <row r="139" spans="1:26" x14ac:dyDescent="0.25">
      <c r="A139" t="s">
        <v>544</v>
      </c>
      <c r="B139" t="s">
        <v>17</v>
      </c>
      <c r="C139" t="s">
        <v>18</v>
      </c>
      <c r="D139" t="s">
        <v>545</v>
      </c>
      <c r="E139" t="s">
        <v>187</v>
      </c>
      <c r="F139" t="s">
        <v>35</v>
      </c>
      <c r="G139" t="s">
        <v>546</v>
      </c>
      <c r="H139" t="s">
        <v>547</v>
      </c>
      <c r="J139" t="s">
        <v>548</v>
      </c>
      <c r="K139" t="s">
        <v>149</v>
      </c>
      <c r="L139" t="s">
        <v>122</v>
      </c>
      <c r="M139" t="s">
        <v>27</v>
      </c>
      <c r="N139" t="s">
        <v>74</v>
      </c>
      <c r="O139" t="s">
        <v>29</v>
      </c>
      <c r="P139" t="s">
        <v>89</v>
      </c>
      <c r="X139" s="7" t="str">
        <f>_xlfn.XLOOKUP(H139, Sheet3!$E:$E, Sheet3!$B:$B, "")</f>
        <v/>
      </c>
      <c r="Y139" s="7" t="str">
        <f>_xlfn.XLOOKUP(H139, Sheet3!$E:$E, Sheet3!$C:$C, "")</f>
        <v/>
      </c>
      <c r="Z139" s="7" t="str">
        <f>_xlfn.XLOOKUP(H139, Sheet3!$E:$E, Sheet3!$D:$D, "")</f>
        <v/>
      </c>
    </row>
    <row r="140" spans="1:26" x14ac:dyDescent="0.25">
      <c r="A140" t="s">
        <v>544</v>
      </c>
      <c r="B140" t="s">
        <v>31</v>
      </c>
      <c r="C140" t="s">
        <v>18</v>
      </c>
      <c r="D140" t="s">
        <v>549</v>
      </c>
      <c r="E140" t="s">
        <v>187</v>
      </c>
      <c r="F140" t="s">
        <v>35</v>
      </c>
      <c r="G140" t="s">
        <v>546</v>
      </c>
      <c r="J140" t="s">
        <v>550</v>
      </c>
      <c r="K140" t="s">
        <v>149</v>
      </c>
      <c r="L140" t="s">
        <v>122</v>
      </c>
      <c r="M140" t="s">
        <v>27</v>
      </c>
      <c r="N140" t="s">
        <v>74</v>
      </c>
      <c r="O140" t="s">
        <v>29</v>
      </c>
      <c r="P140" t="s">
        <v>89</v>
      </c>
      <c r="X140" s="7">
        <f>_xlfn.XLOOKUP(H140, Sheet3!$E:$E, Sheet3!$B:$B, "")</f>
        <v>0</v>
      </c>
      <c r="Y140" s="7">
        <f>_xlfn.XLOOKUP(H140, Sheet3!$E:$E, Sheet3!$C:$C, "")</f>
        <v>0</v>
      </c>
      <c r="Z140" s="7">
        <f>_xlfn.XLOOKUP(H140, Sheet3!$E:$E, Sheet3!$D:$D, "")</f>
        <v>0</v>
      </c>
    </row>
    <row r="141" spans="1:26" x14ac:dyDescent="0.25">
      <c r="A141" t="s">
        <v>551</v>
      </c>
      <c r="B141" t="s">
        <v>17</v>
      </c>
      <c r="C141" t="s">
        <v>18</v>
      </c>
      <c r="D141" t="s">
        <v>552</v>
      </c>
      <c r="E141" t="s">
        <v>187</v>
      </c>
      <c r="F141" t="s">
        <v>35</v>
      </c>
      <c r="G141" t="s">
        <v>553</v>
      </c>
      <c r="H141" t="s">
        <v>554</v>
      </c>
      <c r="J141" t="s">
        <v>555</v>
      </c>
      <c r="K141" t="s">
        <v>149</v>
      </c>
      <c r="L141" t="s">
        <v>556</v>
      </c>
      <c r="M141" t="s">
        <v>27</v>
      </c>
      <c r="N141" t="s">
        <v>74</v>
      </c>
      <c r="O141" t="s">
        <v>29</v>
      </c>
      <c r="P141" t="s">
        <v>89</v>
      </c>
      <c r="X141" s="7" t="str">
        <f>_xlfn.XLOOKUP(H141, Sheet3!$E:$E, Sheet3!$B:$B, "")</f>
        <v/>
      </c>
      <c r="Y141" s="7" t="str">
        <f>_xlfn.XLOOKUP(H141, Sheet3!$E:$E, Sheet3!$C:$C, "")</f>
        <v/>
      </c>
      <c r="Z141" s="7" t="str">
        <f>_xlfn.XLOOKUP(H141, Sheet3!$E:$E, Sheet3!$D:$D, "")</f>
        <v/>
      </c>
    </row>
    <row r="142" spans="1:26" x14ac:dyDescent="0.25">
      <c r="A142" t="s">
        <v>551</v>
      </c>
      <c r="B142" t="s">
        <v>31</v>
      </c>
      <c r="C142" t="s">
        <v>18</v>
      </c>
      <c r="D142" t="s">
        <v>557</v>
      </c>
      <c r="E142" t="s">
        <v>187</v>
      </c>
      <c r="F142" t="s">
        <v>35</v>
      </c>
      <c r="G142" t="s">
        <v>553</v>
      </c>
      <c r="J142" t="s">
        <v>558</v>
      </c>
      <c r="K142" t="s">
        <v>149</v>
      </c>
      <c r="L142" t="s">
        <v>559</v>
      </c>
      <c r="M142" t="s">
        <v>27</v>
      </c>
      <c r="N142" t="s">
        <v>74</v>
      </c>
      <c r="O142" t="s">
        <v>29</v>
      </c>
      <c r="P142" t="s">
        <v>89</v>
      </c>
      <c r="X142" s="7">
        <f>_xlfn.XLOOKUP(H142, Sheet3!$E:$E, Sheet3!$B:$B, "")</f>
        <v>0</v>
      </c>
      <c r="Y142" s="7">
        <f>_xlfn.XLOOKUP(H142, Sheet3!$E:$E, Sheet3!$C:$C, "")</f>
        <v>0</v>
      </c>
      <c r="Z142" s="7">
        <f>_xlfn.XLOOKUP(H142, Sheet3!$E:$E, Sheet3!$D:$D, "")</f>
        <v>0</v>
      </c>
    </row>
    <row r="143" spans="1:26" x14ac:dyDescent="0.25">
      <c r="A143" t="s">
        <v>560</v>
      </c>
      <c r="B143" t="s">
        <v>17</v>
      </c>
      <c r="C143" t="s">
        <v>18</v>
      </c>
      <c r="D143" t="s">
        <v>561</v>
      </c>
      <c r="E143" t="s">
        <v>187</v>
      </c>
      <c r="F143" t="s">
        <v>35</v>
      </c>
      <c r="G143" t="s">
        <v>562</v>
      </c>
      <c r="H143" t="s">
        <v>563</v>
      </c>
      <c r="J143" t="s">
        <v>564</v>
      </c>
      <c r="K143" t="s">
        <v>149</v>
      </c>
      <c r="L143" t="s">
        <v>122</v>
      </c>
      <c r="M143" t="s">
        <v>27</v>
      </c>
      <c r="N143" t="s">
        <v>74</v>
      </c>
      <c r="O143" t="s">
        <v>29</v>
      </c>
      <c r="P143" t="s">
        <v>89</v>
      </c>
      <c r="X143" s="7" t="str">
        <f>_xlfn.XLOOKUP(H143, Sheet3!$E:$E, Sheet3!$B:$B, "")</f>
        <v/>
      </c>
      <c r="Y143" s="7" t="str">
        <f>_xlfn.XLOOKUP(H143, Sheet3!$E:$E, Sheet3!$C:$C, "")</f>
        <v/>
      </c>
      <c r="Z143" s="7" t="str">
        <f>_xlfn.XLOOKUP(H143, Sheet3!$E:$E, Sheet3!$D:$D, "")</f>
        <v/>
      </c>
    </row>
    <row r="144" spans="1:26" x14ac:dyDescent="0.25">
      <c r="A144" t="s">
        <v>560</v>
      </c>
      <c r="B144" t="s">
        <v>31</v>
      </c>
      <c r="C144" t="s">
        <v>18</v>
      </c>
      <c r="D144" t="s">
        <v>565</v>
      </c>
      <c r="E144" t="s">
        <v>187</v>
      </c>
      <c r="F144" t="s">
        <v>35</v>
      </c>
      <c r="G144" t="s">
        <v>562</v>
      </c>
      <c r="J144" t="s">
        <v>566</v>
      </c>
      <c r="K144" t="s">
        <v>149</v>
      </c>
      <c r="L144" t="s">
        <v>122</v>
      </c>
      <c r="M144" t="s">
        <v>27</v>
      </c>
      <c r="N144" t="s">
        <v>74</v>
      </c>
      <c r="O144" t="s">
        <v>29</v>
      </c>
      <c r="P144" t="s">
        <v>89</v>
      </c>
      <c r="X144" s="7">
        <f>_xlfn.XLOOKUP(H144, Sheet3!$E:$E, Sheet3!$B:$B, "")</f>
        <v>0</v>
      </c>
      <c r="Y144" s="7">
        <f>_xlfn.XLOOKUP(H144, Sheet3!$E:$E, Sheet3!$C:$C, "")</f>
        <v>0</v>
      </c>
      <c r="Z144" s="7">
        <f>_xlfn.XLOOKUP(H144, Sheet3!$E:$E, Sheet3!$D:$D, "")</f>
        <v>0</v>
      </c>
    </row>
    <row r="145" spans="1:26" x14ac:dyDescent="0.25">
      <c r="A145" t="s">
        <v>567</v>
      </c>
      <c r="B145" t="s">
        <v>17</v>
      </c>
      <c r="C145" t="s">
        <v>18</v>
      </c>
      <c r="D145" t="s">
        <v>568</v>
      </c>
      <c r="E145" t="s">
        <v>187</v>
      </c>
      <c r="F145" t="s">
        <v>35</v>
      </c>
      <c r="G145" t="s">
        <v>569</v>
      </c>
      <c r="H145" t="s">
        <v>570</v>
      </c>
      <c r="J145" t="s">
        <v>558</v>
      </c>
      <c r="K145" t="s">
        <v>149</v>
      </c>
      <c r="L145" t="s">
        <v>571</v>
      </c>
      <c r="M145" t="s">
        <v>27</v>
      </c>
      <c r="N145" t="s">
        <v>74</v>
      </c>
      <c r="O145" t="s">
        <v>29</v>
      </c>
      <c r="P145" t="s">
        <v>89</v>
      </c>
      <c r="X145" s="7" t="str">
        <f>_xlfn.XLOOKUP(H145, Sheet3!$E:$E, Sheet3!$B:$B, "")</f>
        <v/>
      </c>
      <c r="Y145" s="7" t="str">
        <f>_xlfn.XLOOKUP(H145, Sheet3!$E:$E, Sheet3!$C:$C, "")</f>
        <v/>
      </c>
      <c r="Z145" s="7" t="str">
        <f>_xlfn.XLOOKUP(H145, Sheet3!$E:$E, Sheet3!$D:$D, "")</f>
        <v/>
      </c>
    </row>
    <row r="146" spans="1:26" x14ac:dyDescent="0.25">
      <c r="A146" t="s">
        <v>567</v>
      </c>
      <c r="B146" t="s">
        <v>31</v>
      </c>
      <c r="C146" t="s">
        <v>18</v>
      </c>
      <c r="D146" t="s">
        <v>572</v>
      </c>
      <c r="E146" t="s">
        <v>187</v>
      </c>
      <c r="F146" t="s">
        <v>35</v>
      </c>
      <c r="G146" t="s">
        <v>569</v>
      </c>
      <c r="J146" t="s">
        <v>555</v>
      </c>
      <c r="K146" t="s">
        <v>149</v>
      </c>
      <c r="L146" t="s">
        <v>571</v>
      </c>
      <c r="M146" t="s">
        <v>27</v>
      </c>
      <c r="N146" t="s">
        <v>74</v>
      </c>
      <c r="O146" t="s">
        <v>29</v>
      </c>
      <c r="P146" t="s">
        <v>89</v>
      </c>
      <c r="X146" s="7">
        <f>_xlfn.XLOOKUP(H146, Sheet3!$E:$E, Sheet3!$B:$B, "")</f>
        <v>0</v>
      </c>
      <c r="Y146" s="7">
        <f>_xlfn.XLOOKUP(H146, Sheet3!$E:$E, Sheet3!$C:$C, "")</f>
        <v>0</v>
      </c>
      <c r="Z146" s="7">
        <f>_xlfn.XLOOKUP(H146, Sheet3!$E:$E, Sheet3!$D:$D, "")</f>
        <v>0</v>
      </c>
    </row>
    <row r="147" spans="1:26" x14ac:dyDescent="0.25">
      <c r="A147" t="s">
        <v>573</v>
      </c>
      <c r="B147" t="s">
        <v>17</v>
      </c>
      <c r="C147" t="s">
        <v>18</v>
      </c>
      <c r="D147" t="s">
        <v>574</v>
      </c>
      <c r="E147" t="s">
        <v>187</v>
      </c>
      <c r="F147" t="s">
        <v>35</v>
      </c>
      <c r="G147" t="s">
        <v>575</v>
      </c>
      <c r="H147" t="s">
        <v>576</v>
      </c>
      <c r="J147" t="s">
        <v>577</v>
      </c>
      <c r="K147" t="s">
        <v>149</v>
      </c>
      <c r="L147" t="s">
        <v>122</v>
      </c>
      <c r="M147" t="s">
        <v>27</v>
      </c>
      <c r="N147" t="s">
        <v>74</v>
      </c>
      <c r="O147" t="s">
        <v>29</v>
      </c>
      <c r="P147" t="s">
        <v>89</v>
      </c>
      <c r="X147" s="7" t="str">
        <f>_xlfn.XLOOKUP(H147, Sheet3!$E:$E, Sheet3!$B:$B, "")</f>
        <v/>
      </c>
      <c r="Y147" s="7" t="str">
        <f>_xlfn.XLOOKUP(H147, Sheet3!$E:$E, Sheet3!$C:$C, "")</f>
        <v/>
      </c>
      <c r="Z147" s="7" t="str">
        <f>_xlfn.XLOOKUP(H147, Sheet3!$E:$E, Sheet3!$D:$D, "")</f>
        <v/>
      </c>
    </row>
    <row r="148" spans="1:26" x14ac:dyDescent="0.25">
      <c r="A148" t="s">
        <v>573</v>
      </c>
      <c r="B148" t="s">
        <v>31</v>
      </c>
      <c r="C148" t="s">
        <v>18</v>
      </c>
      <c r="D148" t="s">
        <v>578</v>
      </c>
      <c r="E148" t="s">
        <v>187</v>
      </c>
      <c r="F148" t="s">
        <v>35</v>
      </c>
      <c r="G148" t="s">
        <v>575</v>
      </c>
      <c r="J148" t="s">
        <v>558</v>
      </c>
      <c r="K148" t="s">
        <v>149</v>
      </c>
      <c r="L148" t="s">
        <v>122</v>
      </c>
      <c r="M148" t="s">
        <v>27</v>
      </c>
      <c r="N148" t="s">
        <v>74</v>
      </c>
      <c r="O148" t="s">
        <v>29</v>
      </c>
      <c r="P148" t="s">
        <v>89</v>
      </c>
      <c r="X148" s="7" t="str">
        <f>_xlfn.XLOOKUP(H148, Sheet3!$E:$E, Sheet3!$B:$B, "")</f>
        <v/>
      </c>
      <c r="Y148" s="7" t="str">
        <f>_xlfn.XLOOKUP(H148, Sheet3!$E:$E, Sheet3!$C:$C, "")</f>
        <v/>
      </c>
      <c r="Z148" s="7" t="str">
        <f>_xlfn.XLOOKUP(H148, Sheet3!$E:$E, Sheet3!$D:$D, "")</f>
        <v/>
      </c>
    </row>
    <row r="149" spans="1:26" x14ac:dyDescent="0.25">
      <c r="A149" t="s">
        <v>579</v>
      </c>
      <c r="B149" t="s">
        <v>17</v>
      </c>
      <c r="C149" t="s">
        <v>18</v>
      </c>
      <c r="D149" t="s">
        <v>580</v>
      </c>
      <c r="E149" t="s">
        <v>187</v>
      </c>
      <c r="F149" t="s">
        <v>35</v>
      </c>
      <c r="G149" t="s">
        <v>581</v>
      </c>
      <c r="H149" t="s">
        <v>582</v>
      </c>
      <c r="J149" t="s">
        <v>583</v>
      </c>
      <c r="K149" t="s">
        <v>149</v>
      </c>
      <c r="L149" t="s">
        <v>205</v>
      </c>
      <c r="M149" t="s">
        <v>27</v>
      </c>
      <c r="N149" t="s">
        <v>74</v>
      </c>
      <c r="O149" t="s">
        <v>29</v>
      </c>
      <c r="P149" t="s">
        <v>89</v>
      </c>
      <c r="X149" s="7" t="str">
        <f>_xlfn.XLOOKUP(H149, Sheet3!$E:$E, Sheet3!$B:$B, "")</f>
        <v/>
      </c>
      <c r="Y149" s="7" t="str">
        <f>_xlfn.XLOOKUP(H149, Sheet3!$E:$E, Sheet3!$C:$C, "")</f>
        <v/>
      </c>
      <c r="Z149" s="7" t="str">
        <f>_xlfn.XLOOKUP(H149, Sheet3!$E:$E, Sheet3!$D:$D, "")</f>
        <v/>
      </c>
    </row>
    <row r="150" spans="1:26" x14ac:dyDescent="0.25">
      <c r="A150" t="s">
        <v>579</v>
      </c>
      <c r="B150" t="s">
        <v>31</v>
      </c>
      <c r="C150" t="s">
        <v>18</v>
      </c>
      <c r="D150" t="s">
        <v>584</v>
      </c>
      <c r="E150" t="s">
        <v>187</v>
      </c>
      <c r="F150" t="s">
        <v>35</v>
      </c>
      <c r="G150" t="s">
        <v>581</v>
      </c>
      <c r="J150" t="s">
        <v>585</v>
      </c>
      <c r="K150" t="s">
        <v>149</v>
      </c>
      <c r="L150" t="s">
        <v>586</v>
      </c>
      <c r="M150" t="s">
        <v>27</v>
      </c>
      <c r="N150" t="s">
        <v>74</v>
      </c>
      <c r="O150" t="s">
        <v>29</v>
      </c>
      <c r="P150" t="s">
        <v>89</v>
      </c>
      <c r="X150" s="7" t="str">
        <f>_xlfn.XLOOKUP(H150, Sheet3!$E:$E, Sheet3!$B:$B, "")</f>
        <v/>
      </c>
      <c r="Y150" s="7" t="str">
        <f>_xlfn.XLOOKUP(H150, Sheet3!$E:$E, Sheet3!$C:$C, "")</f>
        <v/>
      </c>
      <c r="Z150" s="7" t="str">
        <f>_xlfn.XLOOKUP(H150, Sheet3!$E:$E, Sheet3!$D:$D, "")</f>
        <v/>
      </c>
    </row>
    <row r="151" spans="1:26" x14ac:dyDescent="0.25">
      <c r="A151" t="s">
        <v>587</v>
      </c>
      <c r="B151" t="s">
        <v>17</v>
      </c>
      <c r="C151" t="s">
        <v>18</v>
      </c>
      <c r="D151" t="s">
        <v>588</v>
      </c>
      <c r="E151" t="s">
        <v>187</v>
      </c>
      <c r="F151" t="s">
        <v>35</v>
      </c>
      <c r="G151" t="s">
        <v>589</v>
      </c>
      <c r="H151" t="s">
        <v>590</v>
      </c>
      <c r="J151" t="s">
        <v>577</v>
      </c>
      <c r="K151" t="s">
        <v>149</v>
      </c>
      <c r="L151" t="s">
        <v>122</v>
      </c>
      <c r="M151" t="s">
        <v>27</v>
      </c>
      <c r="N151" t="s">
        <v>74</v>
      </c>
      <c r="O151" t="s">
        <v>29</v>
      </c>
      <c r="P151" t="s">
        <v>89</v>
      </c>
      <c r="X151" s="7" t="str">
        <f>_xlfn.XLOOKUP(H151, Sheet3!$E:$E, Sheet3!$B:$B, "")</f>
        <v/>
      </c>
      <c r="Y151" s="7" t="str">
        <f>_xlfn.XLOOKUP(H151, Sheet3!$E:$E, Sheet3!$C:$C, "")</f>
        <v/>
      </c>
      <c r="Z151" s="7" t="str">
        <f>_xlfn.XLOOKUP(H151, Sheet3!$E:$E, Sheet3!$D:$D, "")</f>
        <v/>
      </c>
    </row>
    <row r="152" spans="1:26" x14ac:dyDescent="0.25">
      <c r="A152" t="s">
        <v>587</v>
      </c>
      <c r="B152" t="s">
        <v>31</v>
      </c>
      <c r="C152" t="s">
        <v>18</v>
      </c>
      <c r="D152" t="s">
        <v>591</v>
      </c>
      <c r="E152" t="s">
        <v>187</v>
      </c>
      <c r="F152" t="s">
        <v>35</v>
      </c>
      <c r="G152" t="s">
        <v>589</v>
      </c>
      <c r="J152" t="s">
        <v>512</v>
      </c>
      <c r="K152" t="s">
        <v>149</v>
      </c>
      <c r="L152" t="s">
        <v>122</v>
      </c>
      <c r="M152" t="s">
        <v>27</v>
      </c>
      <c r="N152" t="s">
        <v>74</v>
      </c>
      <c r="O152" t="s">
        <v>29</v>
      </c>
      <c r="P152" t="s">
        <v>89</v>
      </c>
      <c r="X152" s="7" t="str">
        <f>_xlfn.XLOOKUP(H152, Sheet3!$E:$E, Sheet3!$B:$B, "")</f>
        <v/>
      </c>
      <c r="Y152" s="7" t="str">
        <f>_xlfn.XLOOKUP(H152, Sheet3!$E:$E, Sheet3!$C:$C, "")</f>
        <v/>
      </c>
      <c r="Z152" s="7" t="str">
        <f>_xlfn.XLOOKUP(H152, Sheet3!$E:$E, Sheet3!$D:$D, "")</f>
        <v/>
      </c>
    </row>
    <row r="153" spans="1:26" x14ac:dyDescent="0.25">
      <c r="A153" t="s">
        <v>592</v>
      </c>
      <c r="B153" t="s">
        <v>17</v>
      </c>
      <c r="C153" t="s">
        <v>18</v>
      </c>
      <c r="D153" t="s">
        <v>593</v>
      </c>
      <c r="E153" t="s">
        <v>187</v>
      </c>
      <c r="F153" t="s">
        <v>35</v>
      </c>
      <c r="G153" t="s">
        <v>594</v>
      </c>
      <c r="H153" t="s">
        <v>595</v>
      </c>
      <c r="J153" t="s">
        <v>583</v>
      </c>
      <c r="K153" t="s">
        <v>149</v>
      </c>
      <c r="L153" t="s">
        <v>596</v>
      </c>
      <c r="M153" t="s">
        <v>27</v>
      </c>
      <c r="N153" t="s">
        <v>74</v>
      </c>
      <c r="O153" t="s">
        <v>29</v>
      </c>
      <c r="P153" t="s">
        <v>89</v>
      </c>
      <c r="X153" s="7" t="str">
        <f>_xlfn.XLOOKUP(H153, Sheet3!$E:$E, Sheet3!$B:$B, "")</f>
        <v/>
      </c>
      <c r="Y153" s="7" t="str">
        <f>_xlfn.XLOOKUP(H153, Sheet3!$E:$E, Sheet3!$C:$C, "")</f>
        <v/>
      </c>
      <c r="Z153" s="7" t="str">
        <f>_xlfn.XLOOKUP(H153, Sheet3!$E:$E, Sheet3!$D:$D, "")</f>
        <v/>
      </c>
    </row>
    <row r="154" spans="1:26" x14ac:dyDescent="0.25">
      <c r="A154" t="s">
        <v>592</v>
      </c>
      <c r="B154" t="s">
        <v>31</v>
      </c>
      <c r="C154" t="s">
        <v>18</v>
      </c>
      <c r="D154" t="s">
        <v>597</v>
      </c>
      <c r="E154" t="s">
        <v>187</v>
      </c>
      <c r="F154" t="s">
        <v>35</v>
      </c>
      <c r="G154" t="s">
        <v>594</v>
      </c>
      <c r="J154" t="s">
        <v>585</v>
      </c>
      <c r="K154" t="s">
        <v>149</v>
      </c>
      <c r="L154" t="s">
        <v>598</v>
      </c>
      <c r="M154" t="s">
        <v>27</v>
      </c>
      <c r="N154" t="s">
        <v>74</v>
      </c>
      <c r="O154" t="s">
        <v>29</v>
      </c>
      <c r="P154" t="s">
        <v>89</v>
      </c>
      <c r="X154" s="7">
        <f>_xlfn.XLOOKUP(H154, Sheet3!$E:$E, Sheet3!$B:$B, "")</f>
        <v>0</v>
      </c>
      <c r="Y154" s="7">
        <f>_xlfn.XLOOKUP(H154, Sheet3!$E:$E, Sheet3!$C:$C, "")</f>
        <v>0</v>
      </c>
      <c r="Z154" s="7">
        <f>_xlfn.XLOOKUP(H154, Sheet3!$E:$E, Sheet3!$D:$D, "")</f>
        <v>0</v>
      </c>
    </row>
    <row r="155" spans="1:26" x14ac:dyDescent="0.25">
      <c r="A155" t="s">
        <v>599</v>
      </c>
      <c r="B155" t="s">
        <v>17</v>
      </c>
      <c r="C155" t="s">
        <v>18</v>
      </c>
      <c r="D155" t="s">
        <v>600</v>
      </c>
      <c r="E155" t="s">
        <v>187</v>
      </c>
      <c r="F155" t="s">
        <v>35</v>
      </c>
      <c r="G155" t="s">
        <v>601</v>
      </c>
      <c r="H155" t="s">
        <v>602</v>
      </c>
      <c r="J155" t="s">
        <v>603</v>
      </c>
      <c r="K155" t="s">
        <v>149</v>
      </c>
      <c r="L155" t="s">
        <v>480</v>
      </c>
      <c r="M155" t="s">
        <v>27</v>
      </c>
      <c r="N155" t="s">
        <v>74</v>
      </c>
      <c r="O155" t="s">
        <v>29</v>
      </c>
      <c r="P155" t="s">
        <v>89</v>
      </c>
      <c r="X155" s="7" t="str">
        <f>_xlfn.XLOOKUP(H155, Sheet3!$E:$E, Sheet3!$B:$B, "")</f>
        <v/>
      </c>
      <c r="Y155" s="7" t="str">
        <f>_xlfn.XLOOKUP(H155, Sheet3!$E:$E, Sheet3!$C:$C, "")</f>
        <v/>
      </c>
      <c r="Z155" s="7" t="str">
        <f>_xlfn.XLOOKUP(H155, Sheet3!$E:$E, Sheet3!$D:$D, "")</f>
        <v/>
      </c>
    </row>
    <row r="156" spans="1:26" x14ac:dyDescent="0.25">
      <c r="A156" t="s">
        <v>599</v>
      </c>
      <c r="B156" t="s">
        <v>31</v>
      </c>
      <c r="C156" t="s">
        <v>18</v>
      </c>
      <c r="D156" t="s">
        <v>604</v>
      </c>
      <c r="E156" t="s">
        <v>187</v>
      </c>
      <c r="F156" t="s">
        <v>35</v>
      </c>
      <c r="G156" t="s">
        <v>601</v>
      </c>
      <c r="J156" t="s">
        <v>503</v>
      </c>
      <c r="K156" t="s">
        <v>149</v>
      </c>
      <c r="L156" t="s">
        <v>482</v>
      </c>
      <c r="M156" t="s">
        <v>27</v>
      </c>
      <c r="N156" t="s">
        <v>74</v>
      </c>
      <c r="O156" t="s">
        <v>29</v>
      </c>
      <c r="P156" t="s">
        <v>89</v>
      </c>
      <c r="X156" s="7">
        <f>_xlfn.XLOOKUP(H156, Sheet3!$E:$E, Sheet3!$B:$B, "")</f>
        <v>0</v>
      </c>
      <c r="Y156" s="7">
        <f>_xlfn.XLOOKUP(H156, Sheet3!$E:$E, Sheet3!$C:$C, "")</f>
        <v>0</v>
      </c>
      <c r="Z156" s="7">
        <f>_xlfn.XLOOKUP(H156, Sheet3!$E:$E, Sheet3!$D:$D, "")</f>
        <v>0</v>
      </c>
    </row>
    <row r="157" spans="1:26" x14ac:dyDescent="0.25">
      <c r="A157" t="s">
        <v>605</v>
      </c>
      <c r="B157" t="s">
        <v>17</v>
      </c>
      <c r="C157" t="s">
        <v>18</v>
      </c>
      <c r="D157" t="s">
        <v>606</v>
      </c>
      <c r="E157" t="s">
        <v>187</v>
      </c>
      <c r="F157" t="s">
        <v>35</v>
      </c>
      <c r="G157" t="s">
        <v>607</v>
      </c>
      <c r="H157" t="s">
        <v>608</v>
      </c>
      <c r="J157" t="s">
        <v>609</v>
      </c>
      <c r="K157" t="s">
        <v>149</v>
      </c>
      <c r="L157" t="s">
        <v>122</v>
      </c>
      <c r="M157" t="s">
        <v>27</v>
      </c>
      <c r="N157" t="s">
        <v>74</v>
      </c>
      <c r="O157" t="s">
        <v>29</v>
      </c>
      <c r="P157" t="s">
        <v>610</v>
      </c>
      <c r="X157" s="7" t="str">
        <f>_xlfn.XLOOKUP(H157, Sheet3!$E:$E, Sheet3!$B:$B, "")</f>
        <v/>
      </c>
      <c r="Y157" s="7" t="str">
        <f>_xlfn.XLOOKUP(H157, Sheet3!$E:$E, Sheet3!$C:$C, "")</f>
        <v/>
      </c>
      <c r="Z157" s="7" t="str">
        <f>_xlfn.XLOOKUP(H157, Sheet3!$E:$E, Sheet3!$D:$D, "")</f>
        <v/>
      </c>
    </row>
    <row r="158" spans="1:26" x14ac:dyDescent="0.25">
      <c r="A158" t="s">
        <v>605</v>
      </c>
      <c r="B158" t="s">
        <v>31</v>
      </c>
      <c r="C158" t="s">
        <v>18</v>
      </c>
      <c r="D158" t="s">
        <v>611</v>
      </c>
      <c r="E158" t="s">
        <v>187</v>
      </c>
      <c r="F158" t="s">
        <v>35</v>
      </c>
      <c r="G158" t="s">
        <v>607</v>
      </c>
      <c r="J158" t="s">
        <v>512</v>
      </c>
      <c r="K158" t="s">
        <v>149</v>
      </c>
      <c r="L158" t="s">
        <v>122</v>
      </c>
      <c r="M158" t="s">
        <v>27</v>
      </c>
      <c r="N158" t="s">
        <v>74</v>
      </c>
      <c r="O158" t="s">
        <v>29</v>
      </c>
      <c r="P158" t="s">
        <v>610</v>
      </c>
      <c r="X158" s="7">
        <f>_xlfn.XLOOKUP(H158, Sheet3!$E:$E, Sheet3!$B:$B, "")</f>
        <v>0</v>
      </c>
      <c r="Y158" s="7">
        <f>_xlfn.XLOOKUP(H158, Sheet3!$E:$E, Sheet3!$C:$C, "")</f>
        <v>0</v>
      </c>
      <c r="Z158" s="7">
        <f>_xlfn.XLOOKUP(H158, Sheet3!$E:$E, Sheet3!$D:$D, "")</f>
        <v>0</v>
      </c>
    </row>
    <row r="159" spans="1:26" x14ac:dyDescent="0.25">
      <c r="A159" t="s">
        <v>612</v>
      </c>
      <c r="B159" t="s">
        <v>17</v>
      </c>
      <c r="C159" t="s">
        <v>18</v>
      </c>
      <c r="D159" t="s">
        <v>613</v>
      </c>
      <c r="E159" t="s">
        <v>187</v>
      </c>
      <c r="F159" t="s">
        <v>35</v>
      </c>
      <c r="G159" t="s">
        <v>614</v>
      </c>
      <c r="H159" t="s">
        <v>615</v>
      </c>
      <c r="J159" t="s">
        <v>616</v>
      </c>
      <c r="K159" t="s">
        <v>149</v>
      </c>
      <c r="L159" t="s">
        <v>617</v>
      </c>
      <c r="M159" t="s">
        <v>27</v>
      </c>
      <c r="N159" t="s">
        <v>74</v>
      </c>
      <c r="O159" t="s">
        <v>29</v>
      </c>
      <c r="P159" t="s">
        <v>618</v>
      </c>
      <c r="X159" s="7" t="str">
        <f>_xlfn.XLOOKUP(H159, Sheet3!$E:$E, Sheet3!$B:$B, "")</f>
        <v/>
      </c>
      <c r="Y159" s="7" t="str">
        <f>_xlfn.XLOOKUP(H159, Sheet3!$E:$E, Sheet3!$C:$C, "")</f>
        <v/>
      </c>
      <c r="Z159" s="7" t="str">
        <f>_xlfn.XLOOKUP(H159, Sheet3!$E:$E, Sheet3!$D:$D, "")</f>
        <v/>
      </c>
    </row>
    <row r="160" spans="1:26" x14ac:dyDescent="0.25">
      <c r="A160" t="s">
        <v>612</v>
      </c>
      <c r="B160" t="s">
        <v>31</v>
      </c>
      <c r="C160" t="s">
        <v>18</v>
      </c>
      <c r="D160" t="s">
        <v>619</v>
      </c>
      <c r="E160" t="s">
        <v>187</v>
      </c>
      <c r="F160" t="s">
        <v>35</v>
      </c>
      <c r="G160" t="s">
        <v>614</v>
      </c>
      <c r="J160" t="s">
        <v>620</v>
      </c>
      <c r="K160" t="s">
        <v>149</v>
      </c>
      <c r="L160" t="s">
        <v>355</v>
      </c>
      <c r="M160" t="s">
        <v>27</v>
      </c>
      <c r="N160" t="s">
        <v>74</v>
      </c>
      <c r="O160" t="s">
        <v>29</v>
      </c>
      <c r="P160" t="s">
        <v>618</v>
      </c>
      <c r="X160" s="7">
        <f>_xlfn.XLOOKUP(H160, Sheet3!$E:$E, Sheet3!$B:$B, "")</f>
        <v>0</v>
      </c>
      <c r="Y160" s="7">
        <f>_xlfn.XLOOKUP(H160, Sheet3!$E:$E, Sheet3!$C:$C, "")</f>
        <v>0</v>
      </c>
      <c r="Z160" s="7">
        <f>_xlfn.XLOOKUP(H160, Sheet3!$E:$E, Sheet3!$D:$D, "")</f>
        <v>0</v>
      </c>
    </row>
    <row r="161" spans="1:26" x14ac:dyDescent="0.25">
      <c r="A161" t="s">
        <v>621</v>
      </c>
      <c r="B161" t="s">
        <v>17</v>
      </c>
      <c r="C161" t="s">
        <v>18</v>
      </c>
      <c r="D161" t="s">
        <v>622</v>
      </c>
      <c r="E161" t="s">
        <v>187</v>
      </c>
      <c r="F161" t="s">
        <v>35</v>
      </c>
      <c r="G161" t="s">
        <v>623</v>
      </c>
      <c r="H161" t="s">
        <v>624</v>
      </c>
      <c r="J161" t="s">
        <v>508</v>
      </c>
      <c r="K161" t="s">
        <v>149</v>
      </c>
      <c r="L161" t="s">
        <v>122</v>
      </c>
      <c r="M161" t="s">
        <v>27</v>
      </c>
      <c r="N161" t="s">
        <v>74</v>
      </c>
      <c r="O161" t="s">
        <v>29</v>
      </c>
      <c r="P161" t="s">
        <v>625</v>
      </c>
      <c r="X161" s="7" t="str">
        <f>_xlfn.XLOOKUP(H161, Sheet3!$E:$E, Sheet3!$B:$B, "")</f>
        <v/>
      </c>
      <c r="Y161" s="7" t="str">
        <f>_xlfn.XLOOKUP(H161, Sheet3!$E:$E, Sheet3!$C:$C, "")</f>
        <v/>
      </c>
      <c r="Z161" s="7" t="str">
        <f>_xlfn.XLOOKUP(H161, Sheet3!$E:$E, Sheet3!$D:$D, "")</f>
        <v/>
      </c>
    </row>
    <row r="162" spans="1:26" x14ac:dyDescent="0.25">
      <c r="A162" t="s">
        <v>621</v>
      </c>
      <c r="B162" t="s">
        <v>31</v>
      </c>
      <c r="C162" t="s">
        <v>18</v>
      </c>
      <c r="D162" t="s">
        <v>626</v>
      </c>
      <c r="E162" t="s">
        <v>187</v>
      </c>
      <c r="F162" t="s">
        <v>35</v>
      </c>
      <c r="G162" t="s">
        <v>623</v>
      </c>
      <c r="J162" t="s">
        <v>512</v>
      </c>
      <c r="K162" t="s">
        <v>149</v>
      </c>
      <c r="L162" t="s">
        <v>122</v>
      </c>
      <c r="M162" t="s">
        <v>27</v>
      </c>
      <c r="N162" t="s">
        <v>74</v>
      </c>
      <c r="O162" t="s">
        <v>29</v>
      </c>
      <c r="P162" t="s">
        <v>625</v>
      </c>
      <c r="X162" s="7">
        <f>_xlfn.XLOOKUP(H162, Sheet3!$E:$E, Sheet3!$B:$B, "")</f>
        <v>0</v>
      </c>
      <c r="Y162" s="7">
        <f>_xlfn.XLOOKUP(H162, Sheet3!$E:$E, Sheet3!$C:$C, "")</f>
        <v>0</v>
      </c>
      <c r="Z162" s="7">
        <f>_xlfn.XLOOKUP(H162, Sheet3!$E:$E, Sheet3!$D:$D, "")</f>
        <v>0</v>
      </c>
    </row>
    <row r="163" spans="1:26" x14ac:dyDescent="0.25">
      <c r="A163" t="s">
        <v>627</v>
      </c>
      <c r="B163" t="s">
        <v>17</v>
      </c>
      <c r="C163" t="s">
        <v>18</v>
      </c>
      <c r="D163" t="s">
        <v>628</v>
      </c>
      <c r="E163" t="s">
        <v>144</v>
      </c>
      <c r="F163" t="s">
        <v>35</v>
      </c>
      <c r="G163" t="s">
        <v>629</v>
      </c>
      <c r="H163" t="s">
        <v>630</v>
      </c>
      <c r="J163" t="s">
        <v>182</v>
      </c>
      <c r="K163" t="s">
        <v>149</v>
      </c>
      <c r="L163" t="s">
        <v>122</v>
      </c>
      <c r="M163" t="s">
        <v>27</v>
      </c>
      <c r="N163" t="s">
        <v>74</v>
      </c>
      <c r="O163" t="s">
        <v>29</v>
      </c>
      <c r="P163" t="s">
        <v>631</v>
      </c>
      <c r="X163" s="7" t="str">
        <f>_xlfn.XLOOKUP(H163, Sheet3!$E:$E, Sheet3!$B:$B, "")</f>
        <v/>
      </c>
      <c r="Y163" s="7" t="str">
        <f>_xlfn.XLOOKUP(H163, Sheet3!$E:$E, Sheet3!$C:$C, "")</f>
        <v/>
      </c>
      <c r="Z163" s="7" t="str">
        <f>_xlfn.XLOOKUP(H163, Sheet3!$E:$E, Sheet3!$D:$D, "")</f>
        <v/>
      </c>
    </row>
    <row r="164" spans="1:26" x14ac:dyDescent="0.25">
      <c r="A164" t="s">
        <v>627</v>
      </c>
      <c r="B164" t="s">
        <v>31</v>
      </c>
      <c r="C164" t="s">
        <v>18</v>
      </c>
      <c r="D164" t="s">
        <v>632</v>
      </c>
      <c r="E164" t="s">
        <v>144</v>
      </c>
      <c r="F164" t="s">
        <v>35</v>
      </c>
      <c r="G164" t="s">
        <v>629</v>
      </c>
      <c r="J164" t="s">
        <v>184</v>
      </c>
      <c r="K164" t="s">
        <v>149</v>
      </c>
      <c r="L164" t="s">
        <v>122</v>
      </c>
      <c r="M164" t="s">
        <v>27</v>
      </c>
      <c r="N164" t="s">
        <v>74</v>
      </c>
      <c r="O164" t="s">
        <v>29</v>
      </c>
      <c r="P164" t="s">
        <v>631</v>
      </c>
      <c r="X164" s="7" t="str">
        <f>_xlfn.XLOOKUP(H164, Sheet3!$E:$E, Sheet3!$B:$B, "")</f>
        <v/>
      </c>
      <c r="Y164" s="7" t="str">
        <f>_xlfn.XLOOKUP(H164, Sheet3!$E:$E, Sheet3!$C:$C, "")</f>
        <v/>
      </c>
      <c r="Z164" s="7" t="str">
        <f>_xlfn.XLOOKUP(H164, Sheet3!$E:$E, Sheet3!$D:$D, "")</f>
        <v/>
      </c>
    </row>
    <row r="165" spans="1:26" x14ac:dyDescent="0.25">
      <c r="A165" t="s">
        <v>633</v>
      </c>
      <c r="B165" t="s">
        <v>17</v>
      </c>
      <c r="C165" t="s">
        <v>18</v>
      </c>
      <c r="D165" t="s">
        <v>634</v>
      </c>
      <c r="E165" t="s">
        <v>187</v>
      </c>
      <c r="F165" t="s">
        <v>53</v>
      </c>
      <c r="G165" t="s">
        <v>635</v>
      </c>
      <c r="H165" t="s">
        <v>636</v>
      </c>
      <c r="J165" t="s">
        <v>637</v>
      </c>
      <c r="K165" t="s">
        <v>149</v>
      </c>
      <c r="L165" t="s">
        <v>95</v>
      </c>
      <c r="M165" t="s">
        <v>27</v>
      </c>
      <c r="N165" t="s">
        <v>74</v>
      </c>
      <c r="O165" t="s">
        <v>29</v>
      </c>
      <c r="P165" t="s">
        <v>610</v>
      </c>
      <c r="X165" s="7" t="str">
        <f>_xlfn.XLOOKUP(H165, Sheet3!$E:$E, Sheet3!$B:$B, "")</f>
        <v/>
      </c>
      <c r="Y165" s="7" t="str">
        <f>_xlfn.XLOOKUP(H165, Sheet3!$E:$E, Sheet3!$C:$C, "")</f>
        <v/>
      </c>
      <c r="Z165" s="7" t="str">
        <f>_xlfn.XLOOKUP(H165, Sheet3!$E:$E, Sheet3!$D:$D, "")</f>
        <v/>
      </c>
    </row>
    <row r="166" spans="1:26" x14ac:dyDescent="0.25">
      <c r="A166" t="s">
        <v>633</v>
      </c>
      <c r="B166" t="s">
        <v>31</v>
      </c>
      <c r="C166" t="s">
        <v>18</v>
      </c>
      <c r="D166" t="s">
        <v>638</v>
      </c>
      <c r="E166" t="s">
        <v>187</v>
      </c>
      <c r="F166" t="s">
        <v>53</v>
      </c>
      <c r="G166" t="s">
        <v>635</v>
      </c>
      <c r="J166" t="s">
        <v>495</v>
      </c>
      <c r="K166" t="s">
        <v>149</v>
      </c>
      <c r="L166" t="s">
        <v>122</v>
      </c>
      <c r="M166" t="s">
        <v>27</v>
      </c>
      <c r="N166" t="s">
        <v>74</v>
      </c>
      <c r="O166" t="s">
        <v>29</v>
      </c>
      <c r="P166" t="s">
        <v>610</v>
      </c>
      <c r="X166" s="7" t="str">
        <f>_xlfn.XLOOKUP(H166, Sheet3!$E:$E, Sheet3!$B:$B, "")</f>
        <v/>
      </c>
      <c r="Y166" s="7" t="str">
        <f>_xlfn.XLOOKUP(H166, Sheet3!$E:$E, Sheet3!$C:$C, "")</f>
        <v/>
      </c>
      <c r="Z166" s="7" t="str">
        <f>_xlfn.XLOOKUP(H166, Sheet3!$E:$E, Sheet3!$D:$D, "")</f>
        <v/>
      </c>
    </row>
    <row r="167" spans="1:26" x14ac:dyDescent="0.25">
      <c r="A167" t="s">
        <v>639</v>
      </c>
      <c r="B167" t="s">
        <v>17</v>
      </c>
      <c r="C167" t="s">
        <v>18</v>
      </c>
      <c r="D167" t="s">
        <v>640</v>
      </c>
      <c r="E167" t="s">
        <v>144</v>
      </c>
      <c r="F167" t="s">
        <v>641</v>
      </c>
      <c r="G167" t="s">
        <v>642</v>
      </c>
      <c r="H167" t="s">
        <v>643</v>
      </c>
      <c r="J167" t="s">
        <v>644</v>
      </c>
      <c r="K167" t="s">
        <v>149</v>
      </c>
      <c r="L167" t="s">
        <v>122</v>
      </c>
      <c r="M167" t="s">
        <v>27</v>
      </c>
      <c r="N167" t="s">
        <v>645</v>
      </c>
      <c r="O167" t="s">
        <v>29</v>
      </c>
      <c r="P167" t="s">
        <v>111</v>
      </c>
      <c r="X167" s="7" t="str">
        <f>_xlfn.XLOOKUP(H167, Sheet3!$E:$E, Sheet3!$B:$B, "")</f>
        <v/>
      </c>
      <c r="Y167" s="7" t="str">
        <f>_xlfn.XLOOKUP(H167, Sheet3!$E:$E, Sheet3!$C:$C, "")</f>
        <v/>
      </c>
      <c r="Z167" s="7" t="str">
        <f>_xlfn.XLOOKUP(H167, Sheet3!$E:$E, Sheet3!$D:$D, "")</f>
        <v/>
      </c>
    </row>
    <row r="168" spans="1:26" x14ac:dyDescent="0.25">
      <c r="A168" t="s">
        <v>639</v>
      </c>
      <c r="B168" t="s">
        <v>31</v>
      </c>
      <c r="C168" t="s">
        <v>18</v>
      </c>
      <c r="D168" t="s">
        <v>646</v>
      </c>
      <c r="E168" t="s">
        <v>144</v>
      </c>
      <c r="F168" t="s">
        <v>641</v>
      </c>
      <c r="G168" t="s">
        <v>642</v>
      </c>
      <c r="J168" t="s">
        <v>647</v>
      </c>
      <c r="K168" t="s">
        <v>149</v>
      </c>
      <c r="L168" t="s">
        <v>122</v>
      </c>
      <c r="M168" t="s">
        <v>27</v>
      </c>
      <c r="N168" t="s">
        <v>645</v>
      </c>
      <c r="O168" t="s">
        <v>29</v>
      </c>
      <c r="P168" t="s">
        <v>111</v>
      </c>
      <c r="X168" s="7" t="str">
        <f>_xlfn.XLOOKUP(H168, Sheet3!$E:$E, Sheet3!$B:$B, "")</f>
        <v/>
      </c>
      <c r="Y168" s="7" t="str">
        <f>_xlfn.XLOOKUP(H168, Sheet3!$E:$E, Sheet3!$C:$C, "")</f>
        <v/>
      </c>
      <c r="Z168" s="7" t="str">
        <f>_xlfn.XLOOKUP(H168, Sheet3!$E:$E, Sheet3!$D:$D, "")</f>
        <v/>
      </c>
    </row>
    <row r="169" spans="1:26" x14ac:dyDescent="0.25">
      <c r="A169" t="s">
        <v>648</v>
      </c>
      <c r="B169" t="s">
        <v>17</v>
      </c>
      <c r="C169" t="s">
        <v>18</v>
      </c>
      <c r="D169" t="s">
        <v>649</v>
      </c>
      <c r="E169" t="s">
        <v>144</v>
      </c>
      <c r="F169" t="s">
        <v>53</v>
      </c>
      <c r="G169" t="s">
        <v>650</v>
      </c>
      <c r="H169" t="s">
        <v>651</v>
      </c>
      <c r="J169" t="s">
        <v>652</v>
      </c>
      <c r="K169" t="s">
        <v>149</v>
      </c>
      <c r="L169" t="s">
        <v>122</v>
      </c>
      <c r="M169" t="s">
        <v>27</v>
      </c>
      <c r="N169" t="s">
        <v>74</v>
      </c>
      <c r="O169" t="s">
        <v>29</v>
      </c>
      <c r="P169" t="s">
        <v>89</v>
      </c>
      <c r="X169" s="7" t="str">
        <f>_xlfn.XLOOKUP(H169, Sheet3!$E:$E, Sheet3!$B:$B, "")</f>
        <v/>
      </c>
      <c r="Y169" s="7" t="str">
        <f>_xlfn.XLOOKUP(H169, Sheet3!$E:$E, Sheet3!$C:$C, "")</f>
        <v/>
      </c>
      <c r="Z169" s="7" t="str">
        <f>_xlfn.XLOOKUP(H169, Sheet3!$E:$E, Sheet3!$D:$D, "")</f>
        <v/>
      </c>
    </row>
    <row r="170" spans="1:26" x14ac:dyDescent="0.25">
      <c r="A170" t="s">
        <v>648</v>
      </c>
      <c r="B170" t="s">
        <v>31</v>
      </c>
      <c r="C170" t="s">
        <v>18</v>
      </c>
      <c r="D170" t="s">
        <v>653</v>
      </c>
      <c r="E170" t="s">
        <v>144</v>
      </c>
      <c r="F170" t="s">
        <v>53</v>
      </c>
      <c r="G170" t="s">
        <v>650</v>
      </c>
      <c r="J170" t="s">
        <v>654</v>
      </c>
      <c r="K170" t="s">
        <v>149</v>
      </c>
      <c r="L170" t="s">
        <v>122</v>
      </c>
      <c r="M170" t="s">
        <v>27</v>
      </c>
      <c r="N170" t="s">
        <v>74</v>
      </c>
      <c r="O170" t="s">
        <v>29</v>
      </c>
      <c r="P170" t="s">
        <v>89</v>
      </c>
      <c r="X170" s="7">
        <f>_xlfn.XLOOKUP(H170, Sheet3!$E:$E, Sheet3!$B:$B, "")</f>
        <v>0</v>
      </c>
      <c r="Y170" s="7">
        <f>_xlfn.XLOOKUP(H170, Sheet3!$E:$E, Sheet3!$C:$C, "")</f>
        <v>0</v>
      </c>
      <c r="Z170" s="7">
        <f>_xlfn.XLOOKUP(H170, Sheet3!$E:$E, Sheet3!$D:$D, "")</f>
        <v>0</v>
      </c>
    </row>
    <row r="171" spans="1:26" x14ac:dyDescent="0.25">
      <c r="A171" t="s">
        <v>655</v>
      </c>
      <c r="B171" t="s">
        <v>17</v>
      </c>
      <c r="C171" t="s">
        <v>18</v>
      </c>
      <c r="D171" t="s">
        <v>656</v>
      </c>
      <c r="E171" t="s">
        <v>144</v>
      </c>
      <c r="F171" t="s">
        <v>53</v>
      </c>
      <c r="G171" t="s">
        <v>161</v>
      </c>
      <c r="H171" t="s">
        <v>657</v>
      </c>
      <c r="J171" t="s">
        <v>658</v>
      </c>
      <c r="K171" t="s">
        <v>149</v>
      </c>
      <c r="L171" t="s">
        <v>122</v>
      </c>
      <c r="M171" t="s">
        <v>27</v>
      </c>
      <c r="N171" t="s">
        <v>74</v>
      </c>
      <c r="O171" t="s">
        <v>29</v>
      </c>
      <c r="P171" t="s">
        <v>89</v>
      </c>
      <c r="X171" s="7" t="str">
        <f>_xlfn.XLOOKUP(H171, Sheet3!$E:$E, Sheet3!$B:$B, "")</f>
        <v/>
      </c>
      <c r="Y171" s="7" t="str">
        <f>_xlfn.XLOOKUP(H171, Sheet3!$E:$E, Sheet3!$C:$C, "")</f>
        <v/>
      </c>
      <c r="Z171" s="7" t="str">
        <f>_xlfn.XLOOKUP(H171, Sheet3!$E:$E, Sheet3!$D:$D, "")</f>
        <v/>
      </c>
    </row>
    <row r="172" spans="1:26" x14ac:dyDescent="0.25">
      <c r="A172" t="s">
        <v>655</v>
      </c>
      <c r="B172" t="s">
        <v>31</v>
      </c>
      <c r="C172" t="s">
        <v>18</v>
      </c>
      <c r="D172" t="s">
        <v>659</v>
      </c>
      <c r="E172" t="s">
        <v>144</v>
      </c>
      <c r="F172" t="s">
        <v>53</v>
      </c>
      <c r="G172" t="s">
        <v>161</v>
      </c>
      <c r="J172" t="s">
        <v>660</v>
      </c>
      <c r="K172" t="s">
        <v>149</v>
      </c>
      <c r="L172" t="s">
        <v>122</v>
      </c>
      <c r="M172" t="s">
        <v>27</v>
      </c>
      <c r="N172" t="s">
        <v>74</v>
      </c>
      <c r="O172" t="s">
        <v>29</v>
      </c>
      <c r="P172" t="s">
        <v>89</v>
      </c>
      <c r="X172" s="7">
        <f>_xlfn.XLOOKUP(H172, Sheet3!$E:$E, Sheet3!$B:$B, "")</f>
        <v>0</v>
      </c>
      <c r="Y172" s="7">
        <f>_xlfn.XLOOKUP(H172, Sheet3!$E:$E, Sheet3!$C:$C, "")</f>
        <v>0</v>
      </c>
      <c r="Z172" s="7">
        <f>_xlfn.XLOOKUP(H172, Sheet3!$E:$E, Sheet3!$D:$D, "")</f>
        <v>0</v>
      </c>
    </row>
    <row r="173" spans="1:26" x14ac:dyDescent="0.25">
      <c r="A173" t="s">
        <v>661</v>
      </c>
      <c r="B173" t="s">
        <v>17</v>
      </c>
      <c r="C173" t="s">
        <v>18</v>
      </c>
      <c r="D173" t="s">
        <v>662</v>
      </c>
      <c r="E173" t="s">
        <v>144</v>
      </c>
      <c r="F173" t="s">
        <v>53</v>
      </c>
      <c r="G173" t="s">
        <v>663</v>
      </c>
      <c r="H173" t="s">
        <v>664</v>
      </c>
      <c r="J173" t="s">
        <v>665</v>
      </c>
      <c r="K173" t="s">
        <v>149</v>
      </c>
      <c r="L173" t="s">
        <v>122</v>
      </c>
      <c r="M173" t="s">
        <v>27</v>
      </c>
      <c r="N173" t="s">
        <v>74</v>
      </c>
      <c r="O173" t="s">
        <v>29</v>
      </c>
      <c r="P173" t="s">
        <v>89</v>
      </c>
      <c r="X173" s="7" t="str">
        <f>_xlfn.XLOOKUP(H173, Sheet3!$E:$E, Sheet3!$B:$B, "")</f>
        <v/>
      </c>
      <c r="Y173" s="7" t="str">
        <f>_xlfn.XLOOKUP(H173, Sheet3!$E:$E, Sheet3!$C:$C, "")</f>
        <v/>
      </c>
      <c r="Z173" s="7" t="str">
        <f>_xlfn.XLOOKUP(H173, Sheet3!$E:$E, Sheet3!$D:$D, "")</f>
        <v/>
      </c>
    </row>
    <row r="174" spans="1:26" x14ac:dyDescent="0.25">
      <c r="A174" t="s">
        <v>661</v>
      </c>
      <c r="B174" t="s">
        <v>31</v>
      </c>
      <c r="C174" t="s">
        <v>18</v>
      </c>
      <c r="D174" t="s">
        <v>666</v>
      </c>
      <c r="E174" t="s">
        <v>144</v>
      </c>
      <c r="F174" t="s">
        <v>53</v>
      </c>
      <c r="G174" t="s">
        <v>663</v>
      </c>
      <c r="J174" t="s">
        <v>667</v>
      </c>
      <c r="K174" t="s">
        <v>149</v>
      </c>
      <c r="L174" t="s">
        <v>122</v>
      </c>
      <c r="M174" t="s">
        <v>27</v>
      </c>
      <c r="N174" t="s">
        <v>74</v>
      </c>
      <c r="O174" t="s">
        <v>29</v>
      </c>
      <c r="P174" t="s">
        <v>89</v>
      </c>
      <c r="X174" s="7">
        <f>_xlfn.XLOOKUP(H174, Sheet3!$E:$E, Sheet3!$B:$B, "")</f>
        <v>0</v>
      </c>
      <c r="Y174" s="7">
        <f>_xlfn.XLOOKUP(H174, Sheet3!$E:$E, Sheet3!$C:$C, "")</f>
        <v>0</v>
      </c>
      <c r="Z174" s="7">
        <f>_xlfn.XLOOKUP(H174, Sheet3!$E:$E, Sheet3!$D:$D, "")</f>
        <v>0</v>
      </c>
    </row>
    <row r="175" spans="1:26" x14ac:dyDescent="0.25">
      <c r="A175" t="s">
        <v>668</v>
      </c>
      <c r="B175" t="s">
        <v>51</v>
      </c>
      <c r="C175" t="s">
        <v>18</v>
      </c>
      <c r="D175" t="s">
        <v>669</v>
      </c>
      <c r="E175" t="s">
        <v>144</v>
      </c>
      <c r="F175" t="s">
        <v>53</v>
      </c>
      <c r="G175" t="s">
        <v>670</v>
      </c>
      <c r="H175" t="s">
        <v>671</v>
      </c>
      <c r="J175" t="s">
        <v>672</v>
      </c>
      <c r="K175" t="s">
        <v>149</v>
      </c>
      <c r="L175" t="s">
        <v>212</v>
      </c>
      <c r="M175" t="s">
        <v>27</v>
      </c>
      <c r="N175" t="s">
        <v>74</v>
      </c>
      <c r="O175" t="s">
        <v>29</v>
      </c>
      <c r="P175" t="s">
        <v>398</v>
      </c>
      <c r="Q175" s="7" t="s">
        <v>1088</v>
      </c>
      <c r="R175" t="s">
        <v>1084</v>
      </c>
      <c r="S175" s="7" t="s">
        <v>1099</v>
      </c>
      <c r="T175" s="5">
        <v>8.3333333333333329E-2</v>
      </c>
      <c r="U175" s="6" t="s">
        <v>1069</v>
      </c>
      <c r="V175" s="7" t="s">
        <v>1086</v>
      </c>
      <c r="X175" s="7" t="str">
        <f>_xlfn.XLOOKUP(H175, Sheet3!$E:$E, Sheet3!$B:$B, "")</f>
        <v/>
      </c>
      <c r="Y175" s="7" t="str">
        <f>_xlfn.XLOOKUP(H175, Sheet3!$E:$E, Sheet3!$C:$C, "")</f>
        <v/>
      </c>
      <c r="Z175" s="7" t="str">
        <f>_xlfn.XLOOKUP(H175, Sheet3!$E:$E, Sheet3!$D:$D, "")</f>
        <v/>
      </c>
    </row>
    <row r="176" spans="1:26" x14ac:dyDescent="0.25">
      <c r="A176" t="s">
        <v>673</v>
      </c>
      <c r="B176" t="s">
        <v>51</v>
      </c>
      <c r="C176" t="s">
        <v>18</v>
      </c>
      <c r="D176" t="s">
        <v>674</v>
      </c>
      <c r="E176" t="s">
        <v>144</v>
      </c>
      <c r="F176" t="s">
        <v>53</v>
      </c>
      <c r="G176" t="s">
        <v>675</v>
      </c>
      <c r="H176" t="s">
        <v>676</v>
      </c>
      <c r="J176" t="s">
        <v>407</v>
      </c>
      <c r="K176" t="s">
        <v>149</v>
      </c>
      <c r="L176" t="s">
        <v>122</v>
      </c>
      <c r="M176" t="s">
        <v>27</v>
      </c>
      <c r="N176" t="s">
        <v>74</v>
      </c>
      <c r="O176" t="s">
        <v>29</v>
      </c>
      <c r="P176" t="s">
        <v>398</v>
      </c>
      <c r="Q176" t="s">
        <v>1100</v>
      </c>
      <c r="R176" s="7" t="s">
        <v>1114</v>
      </c>
      <c r="S176" s="7" t="s">
        <v>1117</v>
      </c>
      <c r="T176" s="5">
        <v>8.3333333333333329E-2</v>
      </c>
      <c r="U176" s="6" t="s">
        <v>1069</v>
      </c>
      <c r="V176" t="s">
        <v>1103</v>
      </c>
      <c r="X176" s="7" t="str">
        <f>_xlfn.XLOOKUP(H176, Sheet3!$E:$E, Sheet3!$B:$B, "")</f>
        <v/>
      </c>
      <c r="Y176" s="7" t="str">
        <f>_xlfn.XLOOKUP(H176, Sheet3!$E:$E, Sheet3!$C:$C, "")</f>
        <v/>
      </c>
      <c r="Z176" s="7" t="str">
        <f>_xlfn.XLOOKUP(H176, Sheet3!$E:$E, Sheet3!$D:$D, "")</f>
        <v/>
      </c>
    </row>
    <row r="177" spans="1:26" x14ac:dyDescent="0.25">
      <c r="A177" t="s">
        <v>677</v>
      </c>
      <c r="B177" t="s">
        <v>51</v>
      </c>
      <c r="C177" t="s">
        <v>18</v>
      </c>
      <c r="D177" t="s">
        <v>678</v>
      </c>
      <c r="E177" t="s">
        <v>144</v>
      </c>
      <c r="F177" t="s">
        <v>53</v>
      </c>
      <c r="G177" t="s">
        <v>679</v>
      </c>
      <c r="H177" t="s">
        <v>680</v>
      </c>
      <c r="J177" t="s">
        <v>672</v>
      </c>
      <c r="K177" t="s">
        <v>149</v>
      </c>
      <c r="L177" t="s">
        <v>212</v>
      </c>
      <c r="M177" t="s">
        <v>27</v>
      </c>
      <c r="N177" t="s">
        <v>74</v>
      </c>
      <c r="O177" t="s">
        <v>29</v>
      </c>
      <c r="P177" t="s">
        <v>398</v>
      </c>
      <c r="Q177" s="7" t="s">
        <v>1088</v>
      </c>
      <c r="R177" t="s">
        <v>1084</v>
      </c>
      <c r="S177" s="7" t="s">
        <v>1096</v>
      </c>
      <c r="T177" s="5">
        <v>8.3333333333333329E-2</v>
      </c>
      <c r="U177" s="6" t="s">
        <v>1069</v>
      </c>
      <c r="V177" s="7" t="s">
        <v>1086</v>
      </c>
      <c r="X177" s="7" t="str">
        <f>_xlfn.XLOOKUP(H177, Sheet3!$E:$E, Sheet3!$B:$B, "")</f>
        <v/>
      </c>
      <c r="Y177" s="7" t="str">
        <f>_xlfn.XLOOKUP(H177, Sheet3!$E:$E, Sheet3!$C:$C, "")</f>
        <v/>
      </c>
      <c r="Z177" s="7" t="str">
        <f>_xlfn.XLOOKUP(H177, Sheet3!$E:$E, Sheet3!$D:$D, "")</f>
        <v/>
      </c>
    </row>
    <row r="178" spans="1:26" x14ac:dyDescent="0.25">
      <c r="A178" t="s">
        <v>681</v>
      </c>
      <c r="B178" t="s">
        <v>51</v>
      </c>
      <c r="C178" t="s">
        <v>18</v>
      </c>
      <c r="D178" t="s">
        <v>682</v>
      </c>
      <c r="E178" t="s">
        <v>144</v>
      </c>
      <c r="F178" t="s">
        <v>53</v>
      </c>
      <c r="G178" t="s">
        <v>683</v>
      </c>
      <c r="H178" t="s">
        <v>684</v>
      </c>
      <c r="J178" t="s">
        <v>685</v>
      </c>
      <c r="K178" t="s">
        <v>149</v>
      </c>
      <c r="L178" t="s">
        <v>212</v>
      </c>
      <c r="M178" t="s">
        <v>27</v>
      </c>
      <c r="N178" t="s">
        <v>74</v>
      </c>
      <c r="O178" t="s">
        <v>29</v>
      </c>
      <c r="P178" t="s">
        <v>398</v>
      </c>
      <c r="Q178" s="7" t="s">
        <v>1088</v>
      </c>
      <c r="R178" t="s">
        <v>1084</v>
      </c>
      <c r="S178" s="7" t="s">
        <v>1098</v>
      </c>
      <c r="T178" s="5">
        <v>8.3333333333333329E-2</v>
      </c>
      <c r="U178" s="6" t="s">
        <v>1069</v>
      </c>
      <c r="V178" s="7" t="s">
        <v>1086</v>
      </c>
      <c r="X178" s="7" t="str">
        <f>_xlfn.XLOOKUP(H178, Sheet3!$E:$E, Sheet3!$B:$B, "")</f>
        <v/>
      </c>
      <c r="Y178" s="7" t="str">
        <f>_xlfn.XLOOKUP(H178, Sheet3!$E:$E, Sheet3!$C:$C, "")</f>
        <v/>
      </c>
      <c r="Z178" s="7" t="str">
        <f>_xlfn.XLOOKUP(H178, Sheet3!$E:$E, Sheet3!$D:$D, "")</f>
        <v/>
      </c>
    </row>
    <row r="179" spans="1:26" x14ac:dyDescent="0.25">
      <c r="A179" t="s">
        <v>686</v>
      </c>
      <c r="B179" t="s">
        <v>51</v>
      </c>
      <c r="C179" t="s">
        <v>18</v>
      </c>
      <c r="D179" t="s">
        <v>687</v>
      </c>
      <c r="E179" t="s">
        <v>144</v>
      </c>
      <c r="F179" t="s">
        <v>53</v>
      </c>
      <c r="G179" t="s">
        <v>688</v>
      </c>
      <c r="H179" t="s">
        <v>689</v>
      </c>
      <c r="J179" t="s">
        <v>685</v>
      </c>
      <c r="K179" t="s">
        <v>149</v>
      </c>
      <c r="L179" t="s">
        <v>122</v>
      </c>
      <c r="M179" t="s">
        <v>27</v>
      </c>
      <c r="N179" t="s">
        <v>74</v>
      </c>
      <c r="O179" t="s">
        <v>29</v>
      </c>
      <c r="P179" t="s">
        <v>398</v>
      </c>
      <c r="Q179" t="s">
        <v>1100</v>
      </c>
      <c r="R179" s="7" t="s">
        <v>1114</v>
      </c>
      <c r="S179" s="7" t="s">
        <v>1116</v>
      </c>
      <c r="T179" s="5">
        <v>8.3333333333333329E-2</v>
      </c>
      <c r="U179" s="6" t="s">
        <v>1069</v>
      </c>
      <c r="V179" t="s">
        <v>1103</v>
      </c>
      <c r="X179" s="7" t="str">
        <f>_xlfn.XLOOKUP(H179, Sheet3!$E:$E, Sheet3!$B:$B, "")</f>
        <v/>
      </c>
      <c r="Y179" s="7" t="str">
        <f>_xlfn.XLOOKUP(H179, Sheet3!$E:$E, Sheet3!$C:$C, "")</f>
        <v/>
      </c>
      <c r="Z179" s="7" t="str">
        <f>_xlfn.XLOOKUP(H179, Sheet3!$E:$E, Sheet3!$D:$D, "")</f>
        <v/>
      </c>
    </row>
    <row r="180" spans="1:26" x14ac:dyDescent="0.25">
      <c r="A180" t="s">
        <v>690</v>
      </c>
      <c r="B180" t="s">
        <v>51</v>
      </c>
      <c r="C180" t="s">
        <v>18</v>
      </c>
      <c r="D180" t="s">
        <v>691</v>
      </c>
      <c r="E180" t="s">
        <v>144</v>
      </c>
      <c r="F180" t="s">
        <v>53</v>
      </c>
      <c r="G180" t="s">
        <v>692</v>
      </c>
      <c r="H180" t="s">
        <v>693</v>
      </c>
      <c r="J180" t="s">
        <v>685</v>
      </c>
      <c r="K180" t="s">
        <v>149</v>
      </c>
      <c r="L180" t="s">
        <v>212</v>
      </c>
      <c r="M180" t="s">
        <v>27</v>
      </c>
      <c r="N180" t="s">
        <v>74</v>
      </c>
      <c r="O180" t="s">
        <v>29</v>
      </c>
      <c r="P180" t="s">
        <v>398</v>
      </c>
      <c r="Q180" s="7" t="s">
        <v>1088</v>
      </c>
      <c r="R180" t="s">
        <v>1084</v>
      </c>
      <c r="S180" s="7" t="s">
        <v>1097</v>
      </c>
      <c r="T180" s="5">
        <v>8.3333333333333329E-2</v>
      </c>
      <c r="U180" s="6" t="s">
        <v>1069</v>
      </c>
      <c r="V180" s="7" t="s">
        <v>1086</v>
      </c>
      <c r="X180" s="7" t="str">
        <f>_xlfn.XLOOKUP(H180, Sheet3!$E:$E, Sheet3!$B:$B, "")</f>
        <v/>
      </c>
      <c r="Y180" s="7" t="str">
        <f>_xlfn.XLOOKUP(H180, Sheet3!$E:$E, Sheet3!$C:$C, "")</f>
        <v/>
      </c>
      <c r="Z180" s="7" t="str">
        <f>_xlfn.XLOOKUP(H180, Sheet3!$E:$E, Sheet3!$D:$D, "")</f>
        <v/>
      </c>
    </row>
    <row r="181" spans="1:26" x14ac:dyDescent="0.25">
      <c r="A181" t="s">
        <v>694</v>
      </c>
      <c r="B181" t="s">
        <v>51</v>
      </c>
      <c r="C181" t="s">
        <v>18</v>
      </c>
      <c r="D181" t="s">
        <v>695</v>
      </c>
      <c r="E181" t="s">
        <v>144</v>
      </c>
      <c r="F181" t="s">
        <v>53</v>
      </c>
      <c r="G181" t="s">
        <v>696</v>
      </c>
      <c r="H181" t="s">
        <v>697</v>
      </c>
      <c r="J181" t="s">
        <v>698</v>
      </c>
      <c r="K181" t="s">
        <v>149</v>
      </c>
      <c r="L181" t="s">
        <v>122</v>
      </c>
      <c r="M181" t="s">
        <v>27</v>
      </c>
      <c r="N181" t="s">
        <v>74</v>
      </c>
      <c r="O181" t="s">
        <v>29</v>
      </c>
      <c r="P181" t="s">
        <v>398</v>
      </c>
      <c r="Q181" t="s">
        <v>1100</v>
      </c>
      <c r="R181" s="7" t="s">
        <v>1114</v>
      </c>
      <c r="S181" s="7" t="s">
        <v>1115</v>
      </c>
      <c r="T181" s="5">
        <v>8.3333333333333329E-2</v>
      </c>
      <c r="U181" s="6" t="s">
        <v>1069</v>
      </c>
      <c r="V181" t="s">
        <v>1103</v>
      </c>
      <c r="X181" s="7" t="str">
        <f>_xlfn.XLOOKUP(H181, Sheet3!$E:$E, Sheet3!$B:$B, "")</f>
        <v/>
      </c>
      <c r="Y181" s="7" t="str">
        <f>_xlfn.XLOOKUP(H181, Sheet3!$E:$E, Sheet3!$C:$C, "")</f>
        <v/>
      </c>
      <c r="Z181" s="7" t="str">
        <f>_xlfn.XLOOKUP(H181, Sheet3!$E:$E, Sheet3!$D:$D, "")</f>
        <v/>
      </c>
    </row>
    <row r="182" spans="1:26" x14ac:dyDescent="0.25">
      <c r="A182" t="s">
        <v>699</v>
      </c>
      <c r="B182" t="s">
        <v>51</v>
      </c>
      <c r="C182" t="s">
        <v>18</v>
      </c>
      <c r="D182" t="s">
        <v>700</v>
      </c>
      <c r="E182" t="s">
        <v>144</v>
      </c>
      <c r="F182" t="s">
        <v>53</v>
      </c>
      <c r="G182" t="s">
        <v>701</v>
      </c>
      <c r="H182" s="7" t="s">
        <v>1113</v>
      </c>
      <c r="J182" t="s">
        <v>703</v>
      </c>
      <c r="K182" t="s">
        <v>149</v>
      </c>
      <c r="L182" t="s">
        <v>122</v>
      </c>
      <c r="M182" t="s">
        <v>27</v>
      </c>
      <c r="N182" t="s">
        <v>74</v>
      </c>
      <c r="O182" t="s">
        <v>29</v>
      </c>
      <c r="P182" t="s">
        <v>398</v>
      </c>
      <c r="Q182" t="s">
        <v>1100</v>
      </c>
      <c r="R182" t="s">
        <v>1101</v>
      </c>
      <c r="S182" s="7" t="s">
        <v>1112</v>
      </c>
      <c r="T182" s="5">
        <v>8.3333333333333329E-2</v>
      </c>
      <c r="U182" s="6" t="s">
        <v>1069</v>
      </c>
      <c r="V182" t="s">
        <v>1103</v>
      </c>
      <c r="X182" s="7" t="str">
        <f>_xlfn.XLOOKUP(H182, Sheet3!$E:$E, Sheet3!$B:$B, "")</f>
        <v/>
      </c>
      <c r="Y182" s="7" t="str">
        <f>_xlfn.XLOOKUP(H182, Sheet3!$E:$E, Sheet3!$C:$C, "")</f>
        <v/>
      </c>
      <c r="Z182" s="7" t="str">
        <f>_xlfn.XLOOKUP(H182, Sheet3!$E:$E, Sheet3!$D:$D, "")</f>
        <v/>
      </c>
    </row>
    <row r="183" spans="1:26" x14ac:dyDescent="0.25">
      <c r="A183" t="s">
        <v>704</v>
      </c>
      <c r="B183" t="s">
        <v>51</v>
      </c>
      <c r="C183" t="s">
        <v>18</v>
      </c>
      <c r="D183" t="s">
        <v>705</v>
      </c>
      <c r="E183" t="s">
        <v>144</v>
      </c>
      <c r="F183" t="s">
        <v>53</v>
      </c>
      <c r="G183" t="s">
        <v>706</v>
      </c>
      <c r="H183" t="s">
        <v>707</v>
      </c>
      <c r="J183" t="s">
        <v>708</v>
      </c>
      <c r="K183" t="s">
        <v>149</v>
      </c>
      <c r="L183" t="s">
        <v>212</v>
      </c>
      <c r="M183" t="s">
        <v>27</v>
      </c>
      <c r="N183" t="s">
        <v>74</v>
      </c>
      <c r="O183" t="s">
        <v>29</v>
      </c>
      <c r="P183" t="s">
        <v>398</v>
      </c>
      <c r="Q183" s="7" t="s">
        <v>1088</v>
      </c>
      <c r="R183" t="s">
        <v>1084</v>
      </c>
      <c r="S183" s="7" t="s">
        <v>1094</v>
      </c>
      <c r="T183" s="5">
        <v>8.3333333333333329E-2</v>
      </c>
      <c r="U183" s="6" t="s">
        <v>1069</v>
      </c>
      <c r="V183" s="7" t="s">
        <v>1086</v>
      </c>
      <c r="X183" s="7" t="str">
        <f>_xlfn.XLOOKUP(H183, Sheet3!$E:$E, Sheet3!$B:$B, "")</f>
        <v/>
      </c>
      <c r="Y183" s="7" t="str">
        <f>_xlfn.XLOOKUP(H183, Sheet3!$E:$E, Sheet3!$C:$C, "")</f>
        <v/>
      </c>
      <c r="Z183" s="7" t="str">
        <f>_xlfn.XLOOKUP(H183, Sheet3!$E:$E, Sheet3!$D:$D, "")</f>
        <v/>
      </c>
    </row>
    <row r="184" spans="1:26" x14ac:dyDescent="0.25">
      <c r="A184" t="s">
        <v>709</v>
      </c>
      <c r="B184" t="s">
        <v>51</v>
      </c>
      <c r="C184" t="s">
        <v>18</v>
      </c>
      <c r="D184" t="s">
        <v>710</v>
      </c>
      <c r="E184" t="s">
        <v>144</v>
      </c>
      <c r="F184" t="s">
        <v>53</v>
      </c>
      <c r="G184" t="s">
        <v>711</v>
      </c>
      <c r="H184" t="s">
        <v>712</v>
      </c>
      <c r="J184" t="s">
        <v>708</v>
      </c>
      <c r="K184" t="s">
        <v>149</v>
      </c>
      <c r="L184" t="s">
        <v>122</v>
      </c>
      <c r="M184" t="s">
        <v>27</v>
      </c>
      <c r="N184" t="s">
        <v>74</v>
      </c>
      <c r="O184" t="s">
        <v>29</v>
      </c>
      <c r="P184" t="s">
        <v>398</v>
      </c>
      <c r="Q184" t="s">
        <v>1100</v>
      </c>
      <c r="R184" t="s">
        <v>1101</v>
      </c>
      <c r="S184" s="7" t="s">
        <v>1110</v>
      </c>
      <c r="T184" s="5">
        <v>8.3333333333333329E-2</v>
      </c>
      <c r="U184" s="6" t="s">
        <v>1069</v>
      </c>
      <c r="V184" t="s">
        <v>1103</v>
      </c>
      <c r="X184" s="7" t="str">
        <f>_xlfn.XLOOKUP(H184, Sheet3!$E:$E, Sheet3!$B:$B, "")</f>
        <v/>
      </c>
      <c r="Y184" s="7" t="str">
        <f>_xlfn.XLOOKUP(H184, Sheet3!$E:$E, Sheet3!$C:$C, "")</f>
        <v/>
      </c>
      <c r="Z184" s="7" t="str">
        <f>_xlfn.XLOOKUP(H184, Sheet3!$E:$E, Sheet3!$D:$D, "")</f>
        <v/>
      </c>
    </row>
    <row r="185" spans="1:26" x14ac:dyDescent="0.25">
      <c r="A185" t="s">
        <v>713</v>
      </c>
      <c r="B185" t="s">
        <v>51</v>
      </c>
      <c r="C185" t="s">
        <v>18</v>
      </c>
      <c r="D185" t="s">
        <v>714</v>
      </c>
      <c r="E185" t="s">
        <v>144</v>
      </c>
      <c r="F185" t="s">
        <v>53</v>
      </c>
      <c r="G185" t="s">
        <v>715</v>
      </c>
      <c r="H185" t="s">
        <v>716</v>
      </c>
      <c r="J185" t="s">
        <v>717</v>
      </c>
      <c r="K185" t="s">
        <v>149</v>
      </c>
      <c r="L185" t="s">
        <v>226</v>
      </c>
      <c r="M185" t="s">
        <v>27</v>
      </c>
      <c r="N185" t="s">
        <v>74</v>
      </c>
      <c r="O185" t="s">
        <v>29</v>
      </c>
      <c r="P185" t="s">
        <v>398</v>
      </c>
      <c r="Q185" s="7" t="s">
        <v>1088</v>
      </c>
      <c r="R185" t="s">
        <v>1084</v>
      </c>
      <c r="S185" s="7" t="s">
        <v>1093</v>
      </c>
      <c r="T185" s="5">
        <v>8.3333333333333329E-2</v>
      </c>
      <c r="U185" s="6" t="s">
        <v>1069</v>
      </c>
      <c r="V185" s="7" t="s">
        <v>1086</v>
      </c>
      <c r="X185" s="7" t="str">
        <f>_xlfn.XLOOKUP(H185, Sheet3!$E:$E, Sheet3!$B:$B, "")</f>
        <v/>
      </c>
      <c r="Y185" s="7" t="str">
        <f>_xlfn.XLOOKUP(H185, Sheet3!$E:$E, Sheet3!$C:$C, "")</f>
        <v/>
      </c>
      <c r="Z185" s="7" t="str">
        <f>_xlfn.XLOOKUP(H185, Sheet3!$E:$E, Sheet3!$D:$D, "")</f>
        <v/>
      </c>
    </row>
    <row r="186" spans="1:26" x14ac:dyDescent="0.25">
      <c r="A186" t="s">
        <v>718</v>
      </c>
      <c r="B186" t="s">
        <v>51</v>
      </c>
      <c r="C186" t="s">
        <v>18</v>
      </c>
      <c r="D186" t="s">
        <v>719</v>
      </c>
      <c r="E186" t="s">
        <v>144</v>
      </c>
      <c r="F186" t="s">
        <v>53</v>
      </c>
      <c r="G186" t="s">
        <v>720</v>
      </c>
      <c r="H186" t="s">
        <v>721</v>
      </c>
      <c r="J186" t="s">
        <v>717</v>
      </c>
      <c r="K186" t="s">
        <v>149</v>
      </c>
      <c r="L186" t="s">
        <v>122</v>
      </c>
      <c r="M186" t="s">
        <v>27</v>
      </c>
      <c r="N186" t="s">
        <v>74</v>
      </c>
      <c r="O186" t="s">
        <v>29</v>
      </c>
      <c r="P186" t="s">
        <v>398</v>
      </c>
      <c r="Q186" t="s">
        <v>1100</v>
      </c>
      <c r="R186" t="s">
        <v>1101</v>
      </c>
      <c r="S186" s="7" t="s">
        <v>1109</v>
      </c>
      <c r="T186" s="5">
        <v>8.3333333333333329E-2</v>
      </c>
      <c r="U186" s="6" t="s">
        <v>1069</v>
      </c>
      <c r="V186" t="s">
        <v>1103</v>
      </c>
      <c r="X186" s="7" t="str">
        <f>_xlfn.XLOOKUP(H186, Sheet3!$E:$E, Sheet3!$B:$B, "")</f>
        <v/>
      </c>
      <c r="Y186" s="7" t="str">
        <f>_xlfn.XLOOKUP(H186, Sheet3!$E:$E, Sheet3!$C:$C, "")</f>
        <v/>
      </c>
      <c r="Z186" s="7" t="str">
        <f>_xlfn.XLOOKUP(H186, Sheet3!$E:$E, Sheet3!$D:$D, "")</f>
        <v/>
      </c>
    </row>
    <row r="187" spans="1:26" x14ac:dyDescent="0.25">
      <c r="A187" t="s">
        <v>722</v>
      </c>
      <c r="B187" t="s">
        <v>51</v>
      </c>
      <c r="C187" t="s">
        <v>18</v>
      </c>
      <c r="D187" t="s">
        <v>723</v>
      </c>
      <c r="E187" t="s">
        <v>144</v>
      </c>
      <c r="F187" t="s">
        <v>53</v>
      </c>
      <c r="G187" t="s">
        <v>724</v>
      </c>
      <c r="H187" t="s">
        <v>725</v>
      </c>
      <c r="J187" t="s">
        <v>726</v>
      </c>
      <c r="K187" t="s">
        <v>149</v>
      </c>
      <c r="L187" t="s">
        <v>226</v>
      </c>
      <c r="M187" t="s">
        <v>27</v>
      </c>
      <c r="N187" t="s">
        <v>74</v>
      </c>
      <c r="O187" t="s">
        <v>29</v>
      </c>
      <c r="P187" t="s">
        <v>398</v>
      </c>
      <c r="Q187" s="7" t="s">
        <v>1088</v>
      </c>
      <c r="R187" t="s">
        <v>1084</v>
      </c>
      <c r="S187" s="7" t="s">
        <v>1092</v>
      </c>
      <c r="T187" s="5">
        <v>8.3333333333333329E-2</v>
      </c>
      <c r="U187" s="6" t="s">
        <v>1069</v>
      </c>
      <c r="V187" s="7" t="s">
        <v>1086</v>
      </c>
      <c r="X187" s="7" t="str">
        <f>_xlfn.XLOOKUP(H187, Sheet3!$E:$E, Sheet3!$B:$B, "")</f>
        <v/>
      </c>
      <c r="Y187" s="7" t="str">
        <f>_xlfn.XLOOKUP(H187, Sheet3!$E:$E, Sheet3!$C:$C, "")</f>
        <v/>
      </c>
      <c r="Z187" s="7" t="str">
        <f>_xlfn.XLOOKUP(H187, Sheet3!$E:$E, Sheet3!$D:$D, "")</f>
        <v/>
      </c>
    </row>
    <row r="188" spans="1:26" x14ac:dyDescent="0.25">
      <c r="A188" t="s">
        <v>727</v>
      </c>
      <c r="B188" t="s">
        <v>51</v>
      </c>
      <c r="C188" t="s">
        <v>18</v>
      </c>
      <c r="D188" t="s">
        <v>728</v>
      </c>
      <c r="E188" t="s">
        <v>144</v>
      </c>
      <c r="F188" t="s">
        <v>53</v>
      </c>
      <c r="G188" t="s">
        <v>729</v>
      </c>
      <c r="H188" t="s">
        <v>730</v>
      </c>
      <c r="J188" t="s">
        <v>731</v>
      </c>
      <c r="K188" t="s">
        <v>149</v>
      </c>
      <c r="L188" t="s">
        <v>122</v>
      </c>
      <c r="M188" t="s">
        <v>27</v>
      </c>
      <c r="N188" t="s">
        <v>74</v>
      </c>
      <c r="O188" t="s">
        <v>29</v>
      </c>
      <c r="P188" t="s">
        <v>398</v>
      </c>
      <c r="Q188" t="s">
        <v>1100</v>
      </c>
      <c r="R188" t="s">
        <v>1101</v>
      </c>
      <c r="S188" s="7" t="s">
        <v>1108</v>
      </c>
      <c r="T188" s="5">
        <v>8.3333333333333329E-2</v>
      </c>
      <c r="U188" s="6" t="s">
        <v>1069</v>
      </c>
      <c r="V188" t="s">
        <v>1103</v>
      </c>
      <c r="X188" s="7" t="str">
        <f>_xlfn.XLOOKUP(H188, Sheet3!$E:$E, Sheet3!$B:$B, "")</f>
        <v/>
      </c>
      <c r="Y188" s="7" t="str">
        <f>_xlfn.XLOOKUP(H188, Sheet3!$E:$E, Sheet3!$C:$C, "")</f>
        <v/>
      </c>
      <c r="Z188" s="7" t="str">
        <f>_xlfn.XLOOKUP(H188, Sheet3!$E:$E, Sheet3!$D:$D, "")</f>
        <v/>
      </c>
    </row>
    <row r="189" spans="1:26" x14ac:dyDescent="0.25">
      <c r="A189" t="s">
        <v>732</v>
      </c>
      <c r="B189" t="s">
        <v>51</v>
      </c>
      <c r="C189" t="s">
        <v>18</v>
      </c>
      <c r="D189" t="s">
        <v>733</v>
      </c>
      <c r="E189" t="s">
        <v>144</v>
      </c>
      <c r="F189" t="s">
        <v>53</v>
      </c>
      <c r="G189" t="s">
        <v>734</v>
      </c>
      <c r="H189" t="s">
        <v>735</v>
      </c>
      <c r="J189" t="s">
        <v>736</v>
      </c>
      <c r="K189" t="s">
        <v>149</v>
      </c>
      <c r="L189" t="s">
        <v>273</v>
      </c>
      <c r="M189" t="s">
        <v>27</v>
      </c>
      <c r="N189" t="s">
        <v>74</v>
      </c>
      <c r="O189" t="s">
        <v>29</v>
      </c>
      <c r="P189" t="s">
        <v>398</v>
      </c>
      <c r="Q189" s="7" t="s">
        <v>1088</v>
      </c>
      <c r="R189" t="s">
        <v>1084</v>
      </c>
      <c r="S189" s="7" t="s">
        <v>1091</v>
      </c>
      <c r="T189" s="5">
        <v>8.3333333333333329E-2</v>
      </c>
      <c r="U189" s="6" t="s">
        <v>1069</v>
      </c>
      <c r="V189" s="7" t="s">
        <v>1086</v>
      </c>
      <c r="X189" s="7" t="str">
        <f>_xlfn.XLOOKUP(H189, Sheet3!$E:$E, Sheet3!$B:$B, "")</f>
        <v/>
      </c>
      <c r="Y189" s="7" t="str">
        <f>_xlfn.XLOOKUP(H189, Sheet3!$E:$E, Sheet3!$C:$C, "")</f>
        <v/>
      </c>
      <c r="Z189" s="7" t="str">
        <f>_xlfn.XLOOKUP(H189, Sheet3!$E:$E, Sheet3!$D:$D, "")</f>
        <v/>
      </c>
    </row>
    <row r="190" spans="1:26" x14ac:dyDescent="0.25">
      <c r="A190" t="s">
        <v>737</v>
      </c>
      <c r="B190" t="s">
        <v>51</v>
      </c>
      <c r="C190" t="s">
        <v>18</v>
      </c>
      <c r="D190" t="s">
        <v>738</v>
      </c>
      <c r="E190" t="s">
        <v>144</v>
      </c>
      <c r="F190" t="s">
        <v>53</v>
      </c>
      <c r="G190" t="s">
        <v>739</v>
      </c>
      <c r="H190" t="s">
        <v>740</v>
      </c>
      <c r="J190" t="s">
        <v>736</v>
      </c>
      <c r="K190" t="s">
        <v>149</v>
      </c>
      <c r="L190" t="s">
        <v>273</v>
      </c>
      <c r="M190" t="s">
        <v>27</v>
      </c>
      <c r="N190" t="s">
        <v>74</v>
      </c>
      <c r="O190" t="s">
        <v>29</v>
      </c>
      <c r="P190" t="s">
        <v>398</v>
      </c>
      <c r="Q190" s="7" t="s">
        <v>1088</v>
      </c>
      <c r="R190" t="s">
        <v>1084</v>
      </c>
      <c r="S190" s="7" t="s">
        <v>1090</v>
      </c>
      <c r="T190" s="5">
        <v>8.3333333333333329E-2</v>
      </c>
      <c r="U190" s="6" t="s">
        <v>1069</v>
      </c>
      <c r="V190" s="7" t="s">
        <v>1086</v>
      </c>
      <c r="X190" s="7" t="str">
        <f>_xlfn.XLOOKUP(H190, Sheet3!$E:$E, Sheet3!$B:$B, "")</f>
        <v/>
      </c>
      <c r="Y190" s="7" t="str">
        <f>_xlfn.XLOOKUP(H190, Sheet3!$E:$E, Sheet3!$C:$C, "")</f>
        <v/>
      </c>
      <c r="Z190" s="7" t="str">
        <f>_xlfn.XLOOKUP(H190, Sheet3!$E:$E, Sheet3!$D:$D, "")</f>
        <v/>
      </c>
    </row>
    <row r="191" spans="1:26" x14ac:dyDescent="0.25">
      <c r="A191" t="s">
        <v>741</v>
      </c>
      <c r="B191" t="s">
        <v>51</v>
      </c>
      <c r="C191" t="s">
        <v>18</v>
      </c>
      <c r="D191" t="s">
        <v>742</v>
      </c>
      <c r="E191" t="s">
        <v>144</v>
      </c>
      <c r="F191" t="s">
        <v>53</v>
      </c>
      <c r="G191" t="s">
        <v>743</v>
      </c>
      <c r="H191" t="s">
        <v>744</v>
      </c>
      <c r="J191" t="s">
        <v>726</v>
      </c>
      <c r="K191" t="s">
        <v>149</v>
      </c>
      <c r="L191" t="s">
        <v>122</v>
      </c>
      <c r="M191" t="s">
        <v>27</v>
      </c>
      <c r="N191" t="s">
        <v>74</v>
      </c>
      <c r="O191" t="s">
        <v>29</v>
      </c>
      <c r="P191" t="s">
        <v>398</v>
      </c>
      <c r="Q191" t="s">
        <v>1100</v>
      </c>
      <c r="R191" t="s">
        <v>1101</v>
      </c>
      <c r="S191" s="7" t="s">
        <v>1107</v>
      </c>
      <c r="T191" s="5">
        <v>8.3333333333333329E-2</v>
      </c>
      <c r="U191" s="6" t="s">
        <v>1069</v>
      </c>
      <c r="V191" t="s">
        <v>1103</v>
      </c>
      <c r="X191" s="7" t="str">
        <f>_xlfn.XLOOKUP(H191, Sheet3!$E:$E, Sheet3!$B:$B, "")</f>
        <v/>
      </c>
      <c r="Y191" s="7" t="str">
        <f>_xlfn.XLOOKUP(H191, Sheet3!$E:$E, Sheet3!$C:$C, "")</f>
        <v/>
      </c>
      <c r="Z191" s="7" t="str">
        <f>_xlfn.XLOOKUP(H191, Sheet3!$E:$E, Sheet3!$D:$D, "")</f>
        <v/>
      </c>
    </row>
    <row r="192" spans="1:26" x14ac:dyDescent="0.25">
      <c r="A192" t="s">
        <v>745</v>
      </c>
      <c r="B192" t="s">
        <v>51</v>
      </c>
      <c r="C192" t="s">
        <v>18</v>
      </c>
      <c r="D192" t="s">
        <v>746</v>
      </c>
      <c r="E192" t="s">
        <v>144</v>
      </c>
      <c r="F192" t="s">
        <v>53</v>
      </c>
      <c r="G192" t="s">
        <v>747</v>
      </c>
      <c r="H192" t="s">
        <v>748</v>
      </c>
      <c r="J192" t="s">
        <v>749</v>
      </c>
      <c r="K192" t="s">
        <v>149</v>
      </c>
      <c r="L192" t="s">
        <v>122</v>
      </c>
      <c r="M192" t="s">
        <v>27</v>
      </c>
      <c r="N192" t="s">
        <v>74</v>
      </c>
      <c r="O192" t="s">
        <v>29</v>
      </c>
      <c r="P192" t="s">
        <v>398</v>
      </c>
      <c r="Q192" t="s">
        <v>1100</v>
      </c>
      <c r="R192" t="s">
        <v>1101</v>
      </c>
      <c r="S192" s="7" t="s">
        <v>1105</v>
      </c>
      <c r="T192" s="5">
        <v>8.3333333333333329E-2</v>
      </c>
      <c r="U192" s="6" t="s">
        <v>1069</v>
      </c>
      <c r="V192" t="s">
        <v>1103</v>
      </c>
      <c r="X192" s="7" t="str">
        <f>_xlfn.XLOOKUP(H192, Sheet3!$E:$E, Sheet3!$B:$B, "")</f>
        <v/>
      </c>
      <c r="Y192" s="7" t="str">
        <f>_xlfn.XLOOKUP(H192, Sheet3!$E:$E, Sheet3!$C:$C, "")</f>
        <v/>
      </c>
      <c r="Z192" s="7" t="str">
        <f>_xlfn.XLOOKUP(H192, Sheet3!$E:$E, Sheet3!$D:$D, "")</f>
        <v/>
      </c>
    </row>
    <row r="193" spans="1:26" x14ac:dyDescent="0.25">
      <c r="A193" t="s">
        <v>750</v>
      </c>
      <c r="B193" t="s">
        <v>51</v>
      </c>
      <c r="C193" t="s">
        <v>18</v>
      </c>
      <c r="D193" t="s">
        <v>751</v>
      </c>
      <c r="E193" t="s">
        <v>144</v>
      </c>
      <c r="F193" t="s">
        <v>53</v>
      </c>
      <c r="G193" t="s">
        <v>752</v>
      </c>
      <c r="H193" t="s">
        <v>753</v>
      </c>
      <c r="J193" t="s">
        <v>749</v>
      </c>
      <c r="K193" t="s">
        <v>149</v>
      </c>
      <c r="L193" t="s">
        <v>273</v>
      </c>
      <c r="M193" t="s">
        <v>27</v>
      </c>
      <c r="N193" t="s">
        <v>74</v>
      </c>
      <c r="O193" t="s">
        <v>29</v>
      </c>
      <c r="P193" t="s">
        <v>398</v>
      </c>
      <c r="Q193" s="7" t="s">
        <v>1088</v>
      </c>
      <c r="R193" t="s">
        <v>1084</v>
      </c>
      <c r="S193" s="7" t="s">
        <v>1089</v>
      </c>
      <c r="T193" s="5">
        <v>8.3333333333333329E-2</v>
      </c>
      <c r="U193" s="6" t="s">
        <v>1069</v>
      </c>
      <c r="V193" s="7" t="s">
        <v>1086</v>
      </c>
      <c r="X193" s="7" t="str">
        <f>_xlfn.XLOOKUP(H193, Sheet3!$E:$E, Sheet3!$B:$B, "")</f>
        <v/>
      </c>
      <c r="Y193" s="7" t="str">
        <f>_xlfn.XLOOKUP(H193, Sheet3!$E:$E, Sheet3!$C:$C, "")</f>
        <v/>
      </c>
      <c r="Z193" s="7" t="str">
        <f>_xlfn.XLOOKUP(H193, Sheet3!$E:$E, Sheet3!$D:$D, "")</f>
        <v/>
      </c>
    </row>
    <row r="194" spans="1:26" x14ac:dyDescent="0.25">
      <c r="A194" t="s">
        <v>754</v>
      </c>
      <c r="B194" t="s">
        <v>51</v>
      </c>
      <c r="C194" t="s">
        <v>18</v>
      </c>
      <c r="D194" t="s">
        <v>755</v>
      </c>
      <c r="E194" t="s">
        <v>144</v>
      </c>
      <c r="F194" t="s">
        <v>53</v>
      </c>
      <c r="G194" t="s">
        <v>756</v>
      </c>
      <c r="H194" t="s">
        <v>757</v>
      </c>
      <c r="J194" t="s">
        <v>758</v>
      </c>
      <c r="K194" t="s">
        <v>149</v>
      </c>
      <c r="L194" t="s">
        <v>122</v>
      </c>
      <c r="M194" t="s">
        <v>27</v>
      </c>
      <c r="N194" t="s">
        <v>74</v>
      </c>
      <c r="O194" t="s">
        <v>29</v>
      </c>
      <c r="P194" t="s">
        <v>398</v>
      </c>
      <c r="Q194" t="s">
        <v>1100</v>
      </c>
      <c r="R194" t="s">
        <v>1101</v>
      </c>
      <c r="S194" s="7" t="s">
        <v>1106</v>
      </c>
      <c r="T194" s="5">
        <v>8.3333333333333329E-2</v>
      </c>
      <c r="U194" s="6" t="s">
        <v>1069</v>
      </c>
      <c r="V194" t="s">
        <v>1103</v>
      </c>
      <c r="X194" s="7" t="str">
        <f>_xlfn.XLOOKUP(H194, Sheet3!$E:$E, Sheet3!$B:$B, "")</f>
        <v/>
      </c>
      <c r="Y194" s="7" t="str">
        <f>_xlfn.XLOOKUP(H194, Sheet3!$E:$E, Sheet3!$C:$C, "")</f>
        <v/>
      </c>
      <c r="Z194" s="7" t="str">
        <f>_xlfn.XLOOKUP(H194, Sheet3!$E:$E, Sheet3!$D:$D, "")</f>
        <v/>
      </c>
    </row>
    <row r="195" spans="1:26" x14ac:dyDescent="0.25">
      <c r="A195" t="s">
        <v>759</v>
      </c>
      <c r="B195" t="s">
        <v>51</v>
      </c>
      <c r="C195" t="s">
        <v>18</v>
      </c>
      <c r="D195" t="s">
        <v>760</v>
      </c>
      <c r="E195" t="s">
        <v>144</v>
      </c>
      <c r="F195" t="s">
        <v>53</v>
      </c>
      <c r="G195" t="s">
        <v>54</v>
      </c>
      <c r="H195" t="s">
        <v>761</v>
      </c>
      <c r="J195" t="s">
        <v>758</v>
      </c>
      <c r="K195" t="s">
        <v>149</v>
      </c>
      <c r="L195" t="s">
        <v>273</v>
      </c>
      <c r="M195" t="s">
        <v>27</v>
      </c>
      <c r="N195" t="s">
        <v>74</v>
      </c>
      <c r="O195" t="s">
        <v>29</v>
      </c>
      <c r="P195" t="s">
        <v>398</v>
      </c>
      <c r="Q195" s="7" t="s">
        <v>1088</v>
      </c>
      <c r="R195" t="s">
        <v>1084</v>
      </c>
      <c r="S195" s="7" t="s">
        <v>1085</v>
      </c>
      <c r="T195" s="5">
        <v>8.3333333333333329E-2</v>
      </c>
      <c r="U195" s="6" t="s">
        <v>1069</v>
      </c>
      <c r="V195" s="7" t="s">
        <v>1086</v>
      </c>
      <c r="X195" s="7" t="str">
        <f>_xlfn.XLOOKUP(H195, Sheet3!$E:$E, Sheet3!$B:$B, "")</f>
        <v/>
      </c>
      <c r="Y195" s="7" t="str">
        <f>_xlfn.XLOOKUP(H195, Sheet3!$E:$E, Sheet3!$C:$C, "")</f>
        <v/>
      </c>
      <c r="Z195" s="7" t="str">
        <f>_xlfn.XLOOKUP(H195, Sheet3!$E:$E, Sheet3!$D:$D, "")</f>
        <v/>
      </c>
    </row>
    <row r="196" spans="1:26" x14ac:dyDescent="0.25">
      <c r="A196" t="s">
        <v>762</v>
      </c>
      <c r="B196" t="s">
        <v>51</v>
      </c>
      <c r="C196" t="s">
        <v>18</v>
      </c>
      <c r="D196" t="s">
        <v>763</v>
      </c>
      <c r="E196" t="s">
        <v>144</v>
      </c>
      <c r="F196" t="s">
        <v>53</v>
      </c>
      <c r="G196" t="s">
        <v>764</v>
      </c>
      <c r="H196" t="s">
        <v>765</v>
      </c>
      <c r="J196" t="s">
        <v>758</v>
      </c>
      <c r="K196" t="s">
        <v>149</v>
      </c>
      <c r="L196" t="s">
        <v>122</v>
      </c>
      <c r="M196" t="s">
        <v>27</v>
      </c>
      <c r="N196" t="s">
        <v>74</v>
      </c>
      <c r="O196" t="s">
        <v>29</v>
      </c>
      <c r="P196" t="s">
        <v>398</v>
      </c>
      <c r="Q196" t="s">
        <v>1100</v>
      </c>
      <c r="R196" t="s">
        <v>1101</v>
      </c>
      <c r="S196" s="7" t="s">
        <v>1102</v>
      </c>
      <c r="T196" s="5">
        <v>8.3333333333333329E-2</v>
      </c>
      <c r="U196" s="6" t="s">
        <v>1069</v>
      </c>
      <c r="V196" t="s">
        <v>1103</v>
      </c>
      <c r="X196" s="7" t="str">
        <f>_xlfn.XLOOKUP(H196, Sheet3!$E:$E, Sheet3!$B:$B, "")</f>
        <v/>
      </c>
      <c r="Y196" s="7" t="str">
        <f>_xlfn.XLOOKUP(H196, Sheet3!$E:$E, Sheet3!$C:$C, "")</f>
        <v/>
      </c>
      <c r="Z196" s="7" t="str">
        <f>_xlfn.XLOOKUP(H196, Sheet3!$E:$E, Sheet3!$D:$D, "")</f>
        <v/>
      </c>
    </row>
    <row r="197" spans="1:26" x14ac:dyDescent="0.25">
      <c r="A197" t="s">
        <v>766</v>
      </c>
      <c r="B197" t="s">
        <v>17</v>
      </c>
      <c r="C197" t="s">
        <v>18</v>
      </c>
      <c r="D197" t="s">
        <v>767</v>
      </c>
      <c r="E197" t="s">
        <v>144</v>
      </c>
      <c r="F197" t="s">
        <v>21</v>
      </c>
      <c r="G197" t="s">
        <v>768</v>
      </c>
      <c r="H197" t="s">
        <v>769</v>
      </c>
      <c r="J197" t="s">
        <v>770</v>
      </c>
      <c r="K197" t="s">
        <v>149</v>
      </c>
      <c r="L197" t="s">
        <v>122</v>
      </c>
      <c r="M197" t="s">
        <v>27</v>
      </c>
      <c r="N197" t="s">
        <v>74</v>
      </c>
      <c r="O197" t="s">
        <v>29</v>
      </c>
      <c r="P197" t="s">
        <v>89</v>
      </c>
      <c r="X197" s="7" t="str">
        <f>_xlfn.XLOOKUP(H197, Sheet3!$E:$E, Sheet3!$B:$B, "")</f>
        <v/>
      </c>
      <c r="Y197" s="7" t="str">
        <f>_xlfn.XLOOKUP(H197, Sheet3!$E:$E, Sheet3!$C:$C, "")</f>
        <v/>
      </c>
      <c r="Z197" s="7" t="str">
        <f>_xlfn.XLOOKUP(H197, Sheet3!$E:$E, Sheet3!$D:$D, "")</f>
        <v/>
      </c>
    </row>
    <row r="198" spans="1:26" x14ac:dyDescent="0.25">
      <c r="A198" t="s">
        <v>766</v>
      </c>
      <c r="B198" t="s">
        <v>31</v>
      </c>
      <c r="C198" t="s">
        <v>18</v>
      </c>
      <c r="D198" t="s">
        <v>771</v>
      </c>
      <c r="E198" t="s">
        <v>144</v>
      </c>
      <c r="F198" t="s">
        <v>21</v>
      </c>
      <c r="G198" t="s">
        <v>768</v>
      </c>
      <c r="J198" t="s">
        <v>772</v>
      </c>
      <c r="K198" t="s">
        <v>149</v>
      </c>
      <c r="L198" t="s">
        <v>122</v>
      </c>
      <c r="M198" t="s">
        <v>27</v>
      </c>
      <c r="N198" t="s">
        <v>74</v>
      </c>
      <c r="O198" t="s">
        <v>29</v>
      </c>
      <c r="P198" t="s">
        <v>89</v>
      </c>
      <c r="X198" s="7" t="str">
        <f>_xlfn.XLOOKUP(H198, Sheet3!$E:$E, Sheet3!$B:$B, "")</f>
        <v/>
      </c>
      <c r="Y198" s="7" t="str">
        <f>_xlfn.XLOOKUP(H198, Sheet3!$E:$E, Sheet3!$C:$C, "")</f>
        <v/>
      </c>
      <c r="Z198" s="7" t="str">
        <f>_xlfn.XLOOKUP(H198, Sheet3!$E:$E, Sheet3!$D:$D, "")</f>
        <v/>
      </c>
    </row>
    <row r="199" spans="1:26" x14ac:dyDescent="0.25">
      <c r="A199" t="s">
        <v>773</v>
      </c>
      <c r="B199" t="s">
        <v>17</v>
      </c>
      <c r="C199" t="s">
        <v>18</v>
      </c>
      <c r="D199" t="s">
        <v>774</v>
      </c>
      <c r="E199" t="s">
        <v>144</v>
      </c>
      <c r="F199" t="s">
        <v>21</v>
      </c>
      <c r="G199" t="s">
        <v>775</v>
      </c>
      <c r="H199" t="s">
        <v>776</v>
      </c>
      <c r="J199" t="s">
        <v>777</v>
      </c>
      <c r="K199" t="s">
        <v>149</v>
      </c>
      <c r="L199" t="s">
        <v>122</v>
      </c>
      <c r="M199" t="s">
        <v>27</v>
      </c>
      <c r="N199" t="s">
        <v>74</v>
      </c>
      <c r="O199" t="s">
        <v>29</v>
      </c>
      <c r="P199" t="s">
        <v>89</v>
      </c>
      <c r="X199" s="7" t="str">
        <f>_xlfn.XLOOKUP(H199, Sheet3!$E:$E, Sheet3!$B:$B, "")</f>
        <v/>
      </c>
      <c r="Y199" s="7" t="str">
        <f>_xlfn.XLOOKUP(H199, Sheet3!$E:$E, Sheet3!$C:$C, "")</f>
        <v/>
      </c>
      <c r="Z199" s="7" t="str">
        <f>_xlfn.XLOOKUP(H199, Sheet3!$E:$E, Sheet3!$D:$D, "")</f>
        <v/>
      </c>
    </row>
    <row r="200" spans="1:26" x14ac:dyDescent="0.25">
      <c r="A200" t="s">
        <v>773</v>
      </c>
      <c r="B200" t="s">
        <v>31</v>
      </c>
      <c r="C200" t="s">
        <v>18</v>
      </c>
      <c r="D200" t="s">
        <v>778</v>
      </c>
      <c r="E200" t="s">
        <v>144</v>
      </c>
      <c r="F200" t="s">
        <v>21</v>
      </c>
      <c r="G200" t="s">
        <v>775</v>
      </c>
      <c r="J200" t="s">
        <v>779</v>
      </c>
      <c r="K200" t="s">
        <v>149</v>
      </c>
      <c r="L200" t="s">
        <v>122</v>
      </c>
      <c r="M200" t="s">
        <v>27</v>
      </c>
      <c r="N200" t="s">
        <v>74</v>
      </c>
      <c r="O200" t="s">
        <v>29</v>
      </c>
      <c r="P200" t="s">
        <v>89</v>
      </c>
      <c r="X200" s="7" t="str">
        <f>_xlfn.XLOOKUP(H200, Sheet3!$E:$E, Sheet3!$B:$B, "")</f>
        <v/>
      </c>
      <c r="Y200" s="7" t="str">
        <f>_xlfn.XLOOKUP(H200, Sheet3!$E:$E, Sheet3!$C:$C, "")</f>
        <v/>
      </c>
      <c r="Z200" s="7" t="str">
        <f>_xlfn.XLOOKUP(H200, Sheet3!$E:$E, Sheet3!$D:$D, "")</f>
        <v/>
      </c>
    </row>
    <row r="201" spans="1:26" x14ac:dyDescent="0.25">
      <c r="A201" t="s">
        <v>780</v>
      </c>
      <c r="B201" t="s">
        <v>17</v>
      </c>
      <c r="C201" t="s">
        <v>18</v>
      </c>
      <c r="D201" t="s">
        <v>781</v>
      </c>
      <c r="E201" t="s">
        <v>435</v>
      </c>
      <c r="F201" t="s">
        <v>53</v>
      </c>
      <c r="G201" t="s">
        <v>782</v>
      </c>
      <c r="H201" t="s">
        <v>783</v>
      </c>
      <c r="J201" t="s">
        <v>784</v>
      </c>
      <c r="K201" t="s">
        <v>149</v>
      </c>
      <c r="L201" t="s">
        <v>95</v>
      </c>
      <c r="M201" t="s">
        <v>27</v>
      </c>
      <c r="N201" t="s">
        <v>74</v>
      </c>
      <c r="O201" t="s">
        <v>29</v>
      </c>
      <c r="P201" t="s">
        <v>785</v>
      </c>
      <c r="X201" s="7" t="str">
        <f>_xlfn.XLOOKUP(H201, Sheet3!$E:$E, Sheet3!$B:$B, "")</f>
        <v/>
      </c>
      <c r="Y201" s="7" t="str">
        <f>_xlfn.XLOOKUP(H201, Sheet3!$E:$E, Sheet3!$C:$C, "")</f>
        <v/>
      </c>
      <c r="Z201" s="7" t="str">
        <f>_xlfn.XLOOKUP(H201, Sheet3!$E:$E, Sheet3!$D:$D, "")</f>
        <v/>
      </c>
    </row>
    <row r="202" spans="1:26" x14ac:dyDescent="0.25">
      <c r="A202" t="s">
        <v>780</v>
      </c>
      <c r="B202" t="s">
        <v>31</v>
      </c>
      <c r="C202" t="s">
        <v>18</v>
      </c>
      <c r="D202" t="s">
        <v>786</v>
      </c>
      <c r="E202" t="s">
        <v>435</v>
      </c>
      <c r="F202" t="s">
        <v>53</v>
      </c>
      <c r="G202" t="s">
        <v>782</v>
      </c>
      <c r="J202" t="s">
        <v>787</v>
      </c>
      <c r="K202" t="s">
        <v>149</v>
      </c>
      <c r="L202" t="s">
        <v>95</v>
      </c>
      <c r="M202" t="s">
        <v>27</v>
      </c>
      <c r="N202" t="s">
        <v>74</v>
      </c>
      <c r="O202" t="s">
        <v>29</v>
      </c>
      <c r="P202" t="s">
        <v>785</v>
      </c>
      <c r="X202" s="7">
        <f>_xlfn.XLOOKUP(H202, Sheet3!$E:$E, Sheet3!$B:$B, "")</f>
        <v>0</v>
      </c>
      <c r="Y202" s="7">
        <f>_xlfn.XLOOKUP(H202, Sheet3!$E:$E, Sheet3!$C:$C, "")</f>
        <v>0</v>
      </c>
      <c r="Z202" s="7">
        <f>_xlfn.XLOOKUP(H202, Sheet3!$E:$E, Sheet3!$D:$D, "")</f>
        <v>0</v>
      </c>
    </row>
    <row r="203" spans="1:26" x14ac:dyDescent="0.25">
      <c r="A203" t="s">
        <v>788</v>
      </c>
      <c r="B203" t="s">
        <v>51</v>
      </c>
      <c r="C203" t="s">
        <v>18</v>
      </c>
      <c r="D203" t="s">
        <v>789</v>
      </c>
      <c r="E203" t="s">
        <v>435</v>
      </c>
      <c r="F203" t="s">
        <v>21</v>
      </c>
      <c r="G203" t="s">
        <v>790</v>
      </c>
      <c r="H203" t="s">
        <v>791</v>
      </c>
      <c r="J203" t="s">
        <v>792</v>
      </c>
      <c r="K203" t="s">
        <v>149</v>
      </c>
      <c r="L203" t="s">
        <v>122</v>
      </c>
      <c r="M203" t="s">
        <v>27</v>
      </c>
      <c r="N203" t="s">
        <v>74</v>
      </c>
      <c r="O203" t="s">
        <v>29</v>
      </c>
      <c r="P203" t="s">
        <v>89</v>
      </c>
      <c r="X203" s="7" t="str">
        <f>_xlfn.XLOOKUP(H203, Sheet3!$E:$E, Sheet3!$B:$B, "")</f>
        <v/>
      </c>
      <c r="Y203" s="7" t="str">
        <f>_xlfn.XLOOKUP(H203, Sheet3!$E:$E, Sheet3!$C:$C, "")</f>
        <v/>
      </c>
      <c r="Z203" s="7" t="str">
        <f>_xlfn.XLOOKUP(H203, Sheet3!$E:$E, Sheet3!$D:$D, "")</f>
        <v/>
      </c>
    </row>
    <row r="204" spans="1:26" x14ac:dyDescent="0.25">
      <c r="A204" t="s">
        <v>793</v>
      </c>
      <c r="B204" t="s">
        <v>51</v>
      </c>
      <c r="C204" t="s">
        <v>18</v>
      </c>
      <c r="D204" t="s">
        <v>794</v>
      </c>
      <c r="E204" t="s">
        <v>144</v>
      </c>
      <c r="F204" t="s">
        <v>21</v>
      </c>
      <c r="G204" t="s">
        <v>795</v>
      </c>
      <c r="H204" t="s">
        <v>796</v>
      </c>
      <c r="J204" t="s">
        <v>797</v>
      </c>
      <c r="K204" t="s">
        <v>149</v>
      </c>
      <c r="L204" t="s">
        <v>122</v>
      </c>
      <c r="M204" t="s">
        <v>27</v>
      </c>
      <c r="N204" t="s">
        <v>74</v>
      </c>
      <c r="O204" t="s">
        <v>29</v>
      </c>
      <c r="P204" t="s">
        <v>89</v>
      </c>
      <c r="X204" s="7" t="str">
        <f>_xlfn.XLOOKUP(H204, Sheet3!$E:$E, Sheet3!$B:$B, "")</f>
        <v/>
      </c>
      <c r="Y204" s="7" t="str">
        <f>_xlfn.XLOOKUP(H204, Sheet3!$E:$E, Sheet3!$C:$C, "")</f>
        <v/>
      </c>
      <c r="Z204" s="7" t="str">
        <f>_xlfn.XLOOKUP(H204, Sheet3!$E:$E, Sheet3!$D:$D, "")</f>
        <v/>
      </c>
    </row>
    <row r="205" spans="1:26" x14ac:dyDescent="0.25">
      <c r="A205" t="s">
        <v>798</v>
      </c>
      <c r="B205" t="s">
        <v>51</v>
      </c>
      <c r="C205" t="s">
        <v>18</v>
      </c>
      <c r="D205" t="s">
        <v>799</v>
      </c>
      <c r="E205" t="s">
        <v>435</v>
      </c>
      <c r="F205" t="s">
        <v>21</v>
      </c>
      <c r="G205" t="s">
        <v>800</v>
      </c>
      <c r="H205" t="s">
        <v>801</v>
      </c>
      <c r="J205" t="s">
        <v>802</v>
      </c>
      <c r="K205" t="s">
        <v>149</v>
      </c>
      <c r="L205" t="s">
        <v>122</v>
      </c>
      <c r="M205" t="s">
        <v>27</v>
      </c>
      <c r="N205" t="s">
        <v>74</v>
      </c>
      <c r="O205" t="s">
        <v>29</v>
      </c>
      <c r="P205" t="s">
        <v>89</v>
      </c>
      <c r="X205" s="7" t="str">
        <f>_xlfn.XLOOKUP(H205, Sheet3!$E:$E, Sheet3!$B:$B, "")</f>
        <v/>
      </c>
      <c r="Y205" s="7" t="str">
        <f>_xlfn.XLOOKUP(H205, Sheet3!$E:$E, Sheet3!$C:$C, "")</f>
        <v/>
      </c>
      <c r="Z205" s="7" t="str">
        <f>_xlfn.XLOOKUP(H205, Sheet3!$E:$E, Sheet3!$D:$D, "")</f>
        <v/>
      </c>
    </row>
    <row r="206" spans="1:26" x14ac:dyDescent="0.25">
      <c r="A206" t="s">
        <v>803</v>
      </c>
      <c r="B206" t="s">
        <v>51</v>
      </c>
      <c r="C206" t="s">
        <v>18</v>
      </c>
      <c r="D206" t="s">
        <v>804</v>
      </c>
      <c r="E206" t="s">
        <v>435</v>
      </c>
      <c r="F206" t="s">
        <v>21</v>
      </c>
      <c r="G206" t="s">
        <v>805</v>
      </c>
      <c r="H206" t="s">
        <v>806</v>
      </c>
      <c r="J206" t="s">
        <v>797</v>
      </c>
      <c r="K206" t="s">
        <v>149</v>
      </c>
      <c r="L206" t="s">
        <v>122</v>
      </c>
      <c r="M206" t="s">
        <v>27</v>
      </c>
      <c r="N206" t="s">
        <v>74</v>
      </c>
      <c r="O206" t="s">
        <v>29</v>
      </c>
      <c r="P206" t="s">
        <v>89</v>
      </c>
      <c r="X206" s="7" t="str">
        <f>_xlfn.XLOOKUP(H206, Sheet3!$E:$E, Sheet3!$B:$B, "")</f>
        <v/>
      </c>
      <c r="Y206" s="7" t="str">
        <f>_xlfn.XLOOKUP(H206, Sheet3!$E:$E, Sheet3!$C:$C, "")</f>
        <v/>
      </c>
      <c r="Z206" s="7" t="str">
        <f>_xlfn.XLOOKUP(H206, Sheet3!$E:$E, Sheet3!$D:$D, "")</f>
        <v/>
      </c>
    </row>
    <row r="207" spans="1:26" x14ac:dyDescent="0.25">
      <c r="A207" t="s">
        <v>807</v>
      </c>
      <c r="B207" t="s">
        <v>17</v>
      </c>
      <c r="C207" t="s">
        <v>18</v>
      </c>
      <c r="D207" t="s">
        <v>808</v>
      </c>
      <c r="E207" t="s">
        <v>144</v>
      </c>
      <c r="F207" t="s">
        <v>35</v>
      </c>
      <c r="G207" t="s">
        <v>809</v>
      </c>
      <c r="H207" t="s">
        <v>810</v>
      </c>
      <c r="J207" t="s">
        <v>315</v>
      </c>
      <c r="K207" t="s">
        <v>149</v>
      </c>
      <c r="L207" t="s">
        <v>95</v>
      </c>
      <c r="M207" t="s">
        <v>27</v>
      </c>
      <c r="N207" t="s">
        <v>74</v>
      </c>
      <c r="O207" t="s">
        <v>29</v>
      </c>
      <c r="P207" t="s">
        <v>89</v>
      </c>
      <c r="X207" s="7" t="str">
        <f>_xlfn.XLOOKUP(H207, Sheet3!$E:$E, Sheet3!$B:$B, "")</f>
        <v/>
      </c>
      <c r="Y207" s="7" t="str">
        <f>_xlfn.XLOOKUP(H207, Sheet3!$E:$E, Sheet3!$C:$C, "")</f>
        <v/>
      </c>
      <c r="Z207" s="7" t="str">
        <f>_xlfn.XLOOKUP(H207, Sheet3!$E:$E, Sheet3!$D:$D, "")</f>
        <v/>
      </c>
    </row>
    <row r="208" spans="1:26" x14ac:dyDescent="0.25">
      <c r="A208" t="s">
        <v>807</v>
      </c>
      <c r="B208" t="s">
        <v>31</v>
      </c>
      <c r="C208" t="s">
        <v>18</v>
      </c>
      <c r="D208" t="s">
        <v>811</v>
      </c>
      <c r="E208" t="s">
        <v>144</v>
      </c>
      <c r="F208" t="s">
        <v>35</v>
      </c>
      <c r="G208" t="s">
        <v>809</v>
      </c>
      <c r="J208" t="s">
        <v>184</v>
      </c>
      <c r="K208" t="s">
        <v>149</v>
      </c>
      <c r="L208" t="s">
        <v>307</v>
      </c>
      <c r="M208" t="s">
        <v>27</v>
      </c>
      <c r="N208" t="s">
        <v>74</v>
      </c>
      <c r="O208" t="s">
        <v>29</v>
      </c>
      <c r="P208" t="s">
        <v>89</v>
      </c>
      <c r="X208" s="7" t="str">
        <f>_xlfn.XLOOKUP(H208, Sheet3!$E:$E, Sheet3!$B:$B, "")</f>
        <v/>
      </c>
      <c r="Y208" s="7" t="str">
        <f>_xlfn.XLOOKUP(H208, Sheet3!$E:$E, Sheet3!$C:$C, "")</f>
        <v/>
      </c>
      <c r="Z208" s="7" t="str">
        <f>_xlfn.XLOOKUP(H208, Sheet3!$E:$E, Sheet3!$D:$D, "")</f>
        <v/>
      </c>
    </row>
    <row r="209" spans="1:26" x14ac:dyDescent="0.25">
      <c r="A209" t="s">
        <v>812</v>
      </c>
      <c r="B209" t="s">
        <v>51</v>
      </c>
      <c r="C209" t="s">
        <v>18</v>
      </c>
      <c r="D209" t="s">
        <v>813</v>
      </c>
      <c r="E209" t="s">
        <v>144</v>
      </c>
      <c r="F209" t="s">
        <v>21</v>
      </c>
      <c r="G209" t="s">
        <v>814</v>
      </c>
      <c r="H209" t="s">
        <v>815</v>
      </c>
      <c r="J209" t="s">
        <v>816</v>
      </c>
      <c r="K209" t="s">
        <v>149</v>
      </c>
      <c r="L209" t="s">
        <v>122</v>
      </c>
      <c r="M209" t="s">
        <v>27</v>
      </c>
      <c r="N209" t="s">
        <v>74</v>
      </c>
      <c r="O209" t="s">
        <v>29</v>
      </c>
      <c r="P209" t="s">
        <v>89</v>
      </c>
      <c r="X209" s="7" t="str">
        <f>_xlfn.XLOOKUP(H209, Sheet3!$E:$E, Sheet3!$B:$B, "")</f>
        <v/>
      </c>
      <c r="Y209" s="7" t="str">
        <f>_xlfn.XLOOKUP(H209, Sheet3!$E:$E, Sheet3!$C:$C, "")</f>
        <v/>
      </c>
      <c r="Z209" s="7" t="str">
        <f>_xlfn.XLOOKUP(H209, Sheet3!$E:$E, Sheet3!$D:$D, "")</f>
        <v/>
      </c>
    </row>
    <row r="210" spans="1:26" x14ac:dyDescent="0.25">
      <c r="A210" t="s">
        <v>817</v>
      </c>
      <c r="B210" t="s">
        <v>17</v>
      </c>
      <c r="C210" t="s">
        <v>18</v>
      </c>
      <c r="D210" t="s">
        <v>818</v>
      </c>
      <c r="E210" t="s">
        <v>819</v>
      </c>
      <c r="F210" t="s">
        <v>35</v>
      </c>
      <c r="G210" t="s">
        <v>820</v>
      </c>
      <c r="H210" t="s">
        <v>821</v>
      </c>
      <c r="J210" t="s">
        <v>822</v>
      </c>
      <c r="K210" t="s">
        <v>149</v>
      </c>
      <c r="L210" t="s">
        <v>299</v>
      </c>
      <c r="M210" t="s">
        <v>27</v>
      </c>
      <c r="N210" t="s">
        <v>74</v>
      </c>
      <c r="O210" t="s">
        <v>29</v>
      </c>
      <c r="P210" t="s">
        <v>89</v>
      </c>
      <c r="X210" s="7" t="str">
        <f>_xlfn.XLOOKUP(H210, Sheet3!$E:$E, Sheet3!$B:$B, "")</f>
        <v/>
      </c>
      <c r="Y210" s="7" t="str">
        <f>_xlfn.XLOOKUP(H210, Sheet3!$E:$E, Sheet3!$C:$C, "")</f>
        <v/>
      </c>
      <c r="Z210" s="7" t="str">
        <f>_xlfn.XLOOKUP(H210, Sheet3!$E:$E, Sheet3!$D:$D, "")</f>
        <v/>
      </c>
    </row>
    <row r="211" spans="1:26" x14ac:dyDescent="0.25">
      <c r="A211" t="s">
        <v>817</v>
      </c>
      <c r="B211" t="s">
        <v>31</v>
      </c>
      <c r="C211" t="s">
        <v>18</v>
      </c>
      <c r="D211" t="s">
        <v>823</v>
      </c>
      <c r="E211" t="s">
        <v>819</v>
      </c>
      <c r="F211" t="s">
        <v>35</v>
      </c>
      <c r="G211" t="s">
        <v>820</v>
      </c>
      <c r="J211" t="s">
        <v>824</v>
      </c>
      <c r="K211" t="s">
        <v>149</v>
      </c>
      <c r="L211" t="s">
        <v>226</v>
      </c>
      <c r="M211" t="s">
        <v>27</v>
      </c>
      <c r="N211" t="s">
        <v>74</v>
      </c>
      <c r="O211" t="s">
        <v>29</v>
      </c>
      <c r="P211" t="s">
        <v>89</v>
      </c>
      <c r="X211" s="7" t="str">
        <f>_xlfn.XLOOKUP(H211, Sheet3!$E:$E, Sheet3!$B:$B, "")</f>
        <v/>
      </c>
      <c r="Y211" s="7" t="str">
        <f>_xlfn.XLOOKUP(H211, Sheet3!$E:$E, Sheet3!$C:$C, "")</f>
        <v/>
      </c>
      <c r="Z211" s="7" t="str">
        <f>_xlfn.XLOOKUP(H211, Sheet3!$E:$E, Sheet3!$D:$D, "")</f>
        <v/>
      </c>
    </row>
    <row r="212" spans="1:26" x14ac:dyDescent="0.25">
      <c r="A212" t="s">
        <v>825</v>
      </c>
      <c r="B212" t="s">
        <v>17</v>
      </c>
      <c r="C212" t="s">
        <v>18</v>
      </c>
      <c r="D212" t="s">
        <v>826</v>
      </c>
      <c r="E212" t="s">
        <v>144</v>
      </c>
      <c r="F212" t="s">
        <v>21</v>
      </c>
      <c r="G212" t="s">
        <v>827</v>
      </c>
      <c r="H212" t="s">
        <v>828</v>
      </c>
      <c r="J212" t="s">
        <v>829</v>
      </c>
      <c r="K212" t="s">
        <v>149</v>
      </c>
      <c r="L212" t="s">
        <v>122</v>
      </c>
      <c r="M212" t="s">
        <v>27</v>
      </c>
      <c r="N212" t="s">
        <v>74</v>
      </c>
      <c r="O212" t="s">
        <v>29</v>
      </c>
      <c r="P212" t="s">
        <v>89</v>
      </c>
      <c r="X212" s="7" t="str">
        <f>_xlfn.XLOOKUP(H212, Sheet3!$E:$E, Sheet3!$B:$B, "")</f>
        <v/>
      </c>
      <c r="Y212" s="7" t="str">
        <f>_xlfn.XLOOKUP(H212, Sheet3!$E:$E, Sheet3!$C:$C, "")</f>
        <v/>
      </c>
      <c r="Z212" s="7" t="str">
        <f>_xlfn.XLOOKUP(H212, Sheet3!$E:$E, Sheet3!$D:$D, "")</f>
        <v/>
      </c>
    </row>
    <row r="213" spans="1:26" x14ac:dyDescent="0.25">
      <c r="A213" t="s">
        <v>825</v>
      </c>
      <c r="B213" t="s">
        <v>31</v>
      </c>
      <c r="C213" t="s">
        <v>18</v>
      </c>
      <c r="D213" t="s">
        <v>830</v>
      </c>
      <c r="E213" t="s">
        <v>144</v>
      </c>
      <c r="F213" t="s">
        <v>21</v>
      </c>
      <c r="G213" t="s">
        <v>827</v>
      </c>
      <c r="J213" t="s">
        <v>831</v>
      </c>
      <c r="K213" t="s">
        <v>149</v>
      </c>
      <c r="L213" t="s">
        <v>122</v>
      </c>
      <c r="M213" t="s">
        <v>27</v>
      </c>
      <c r="N213" t="s">
        <v>74</v>
      </c>
      <c r="O213" t="s">
        <v>29</v>
      </c>
      <c r="P213" t="s">
        <v>89</v>
      </c>
      <c r="X213" s="7" t="str">
        <f>_xlfn.XLOOKUP(H213, Sheet3!$E:$E, Sheet3!$B:$B, "")</f>
        <v/>
      </c>
      <c r="Y213" s="7" t="str">
        <f>_xlfn.XLOOKUP(H213, Sheet3!$E:$E, Sheet3!$C:$C, "")</f>
        <v/>
      </c>
      <c r="Z213" s="7" t="str">
        <f>_xlfn.XLOOKUP(H213, Sheet3!$E:$E, Sheet3!$D:$D, "")</f>
        <v/>
      </c>
    </row>
    <row r="214" spans="1:26" x14ac:dyDescent="0.25">
      <c r="A214" t="s">
        <v>832</v>
      </c>
      <c r="B214" t="s">
        <v>51</v>
      </c>
      <c r="C214" t="s">
        <v>18</v>
      </c>
      <c r="D214" t="s">
        <v>833</v>
      </c>
      <c r="E214" t="s">
        <v>144</v>
      </c>
      <c r="F214" t="s">
        <v>21</v>
      </c>
      <c r="G214" t="s">
        <v>834</v>
      </c>
      <c r="H214" t="s">
        <v>835</v>
      </c>
      <c r="J214" t="s">
        <v>836</v>
      </c>
      <c r="K214" t="s">
        <v>149</v>
      </c>
      <c r="L214" t="s">
        <v>122</v>
      </c>
      <c r="M214" t="s">
        <v>27</v>
      </c>
      <c r="N214" t="s">
        <v>74</v>
      </c>
      <c r="O214" t="s">
        <v>29</v>
      </c>
      <c r="P214" t="s">
        <v>837</v>
      </c>
      <c r="X214" s="7" t="str">
        <f>_xlfn.XLOOKUP(H214, Sheet3!$E:$E, Sheet3!$B:$B, "")</f>
        <v/>
      </c>
      <c r="Y214" s="7" t="str">
        <f>_xlfn.XLOOKUP(H214, Sheet3!$E:$E, Sheet3!$C:$C, "")</f>
        <v/>
      </c>
      <c r="Z214" s="7" t="str">
        <f>_xlfn.XLOOKUP(H214, Sheet3!$E:$E, Sheet3!$D:$D, "")</f>
        <v/>
      </c>
    </row>
    <row r="215" spans="1:26" x14ac:dyDescent="0.25">
      <c r="A215" t="s">
        <v>838</v>
      </c>
      <c r="B215" t="s">
        <v>51</v>
      </c>
      <c r="C215" t="s">
        <v>18</v>
      </c>
      <c r="D215" t="s">
        <v>839</v>
      </c>
      <c r="E215" t="s">
        <v>144</v>
      </c>
      <c r="F215" t="s">
        <v>21</v>
      </c>
      <c r="G215" t="s">
        <v>840</v>
      </c>
      <c r="H215" t="s">
        <v>841</v>
      </c>
      <c r="J215" t="s">
        <v>175</v>
      </c>
      <c r="K215" t="s">
        <v>149</v>
      </c>
      <c r="L215" t="s">
        <v>122</v>
      </c>
      <c r="M215" t="s">
        <v>27</v>
      </c>
      <c r="N215" t="s">
        <v>74</v>
      </c>
      <c r="O215" t="s">
        <v>29</v>
      </c>
      <c r="P215" t="s">
        <v>308</v>
      </c>
      <c r="X215" s="7" t="str">
        <f>_xlfn.XLOOKUP(H215, Sheet3!$E:$E, Sheet3!$B:$B, "")</f>
        <v/>
      </c>
      <c r="Y215" s="7" t="str">
        <f>_xlfn.XLOOKUP(H215, Sheet3!$E:$E, Sheet3!$C:$C, "")</f>
        <v/>
      </c>
      <c r="Z215" s="7" t="str">
        <f>_xlfn.XLOOKUP(H215, Sheet3!$E:$E, Sheet3!$D:$D, "")</f>
        <v/>
      </c>
    </row>
    <row r="216" spans="1:26" x14ac:dyDescent="0.25">
      <c r="A216" t="s">
        <v>842</v>
      </c>
      <c r="B216" t="s">
        <v>17</v>
      </c>
      <c r="C216" t="s">
        <v>18</v>
      </c>
      <c r="D216" t="s">
        <v>843</v>
      </c>
      <c r="E216" t="s">
        <v>201</v>
      </c>
      <c r="F216" t="s">
        <v>35</v>
      </c>
      <c r="G216" t="s">
        <v>188</v>
      </c>
      <c r="H216" t="s">
        <v>844</v>
      </c>
      <c r="J216" t="s">
        <v>182</v>
      </c>
      <c r="K216" t="s">
        <v>149</v>
      </c>
      <c r="L216" t="s">
        <v>95</v>
      </c>
      <c r="M216" t="s">
        <v>27</v>
      </c>
      <c r="N216" t="s">
        <v>74</v>
      </c>
      <c r="O216" t="s">
        <v>29</v>
      </c>
      <c r="P216" t="s">
        <v>89</v>
      </c>
      <c r="X216" s="7" t="str">
        <f>_xlfn.XLOOKUP(H216, Sheet3!$E:$E, Sheet3!$B:$B, "")</f>
        <v/>
      </c>
      <c r="Y216" s="7" t="str">
        <f>_xlfn.XLOOKUP(H216, Sheet3!$E:$E, Sheet3!$C:$C, "")</f>
        <v/>
      </c>
      <c r="Z216" s="7" t="str">
        <f>_xlfn.XLOOKUP(H216, Sheet3!$E:$E, Sheet3!$D:$D, "")</f>
        <v/>
      </c>
    </row>
    <row r="217" spans="1:26" x14ac:dyDescent="0.25">
      <c r="A217" t="s">
        <v>842</v>
      </c>
      <c r="B217" t="s">
        <v>31</v>
      </c>
      <c r="C217" t="s">
        <v>18</v>
      </c>
      <c r="D217" t="s">
        <v>845</v>
      </c>
      <c r="E217" t="s">
        <v>201</v>
      </c>
      <c r="F217" t="s">
        <v>35</v>
      </c>
      <c r="G217" t="s">
        <v>188</v>
      </c>
      <c r="J217" t="s">
        <v>184</v>
      </c>
      <c r="K217" t="s">
        <v>149</v>
      </c>
      <c r="L217" t="s">
        <v>95</v>
      </c>
      <c r="M217" t="s">
        <v>27</v>
      </c>
      <c r="N217" t="s">
        <v>74</v>
      </c>
      <c r="O217" t="s">
        <v>29</v>
      </c>
      <c r="P217" t="s">
        <v>89</v>
      </c>
      <c r="X217" s="7" t="str">
        <f>_xlfn.XLOOKUP(H217, Sheet3!$E:$E, Sheet3!$B:$B, "")</f>
        <v/>
      </c>
      <c r="Y217" s="7" t="str">
        <f>_xlfn.XLOOKUP(H217, Sheet3!$E:$E, Sheet3!$C:$C, "")</f>
        <v/>
      </c>
      <c r="Z217" s="7" t="str">
        <f>_xlfn.XLOOKUP(H217, Sheet3!$E:$E, Sheet3!$D:$D, "")</f>
        <v/>
      </c>
    </row>
    <row r="218" spans="1:26" x14ac:dyDescent="0.25">
      <c r="A218" t="s">
        <v>846</v>
      </c>
      <c r="B218" t="s">
        <v>17</v>
      </c>
      <c r="C218" t="s">
        <v>18</v>
      </c>
      <c r="D218" t="s">
        <v>847</v>
      </c>
      <c r="E218" t="s">
        <v>201</v>
      </c>
      <c r="F218" t="s">
        <v>35</v>
      </c>
      <c r="G218" t="s">
        <v>359</v>
      </c>
      <c r="H218" t="s">
        <v>848</v>
      </c>
      <c r="J218" t="s">
        <v>849</v>
      </c>
      <c r="K218" t="s">
        <v>149</v>
      </c>
      <c r="L218" t="s">
        <v>39</v>
      </c>
      <c r="M218" t="s">
        <v>27</v>
      </c>
      <c r="N218" t="s">
        <v>74</v>
      </c>
      <c r="O218" t="s">
        <v>29</v>
      </c>
      <c r="P218" t="s">
        <v>89</v>
      </c>
      <c r="Q218" s="7" t="s">
        <v>1088</v>
      </c>
      <c r="R218" s="7" t="s">
        <v>1125</v>
      </c>
      <c r="S218" s="7" t="s">
        <v>1130</v>
      </c>
      <c r="T218" s="5">
        <v>0.125</v>
      </c>
      <c r="U218" s="4" t="s">
        <v>1128</v>
      </c>
      <c r="V218" s="7" t="s">
        <v>1127</v>
      </c>
      <c r="X218" s="7" t="str">
        <f>_xlfn.XLOOKUP(H218, Sheet3!$E:$E, Sheet3!$B:$B, "")</f>
        <v>초등</v>
      </c>
      <c r="Y218" s="7" t="str">
        <f>_xlfn.XLOOKUP(H218, Sheet3!$E:$E, Sheet3!$C:$C, "")</f>
        <v>영어 3</v>
      </c>
      <c r="Z218" s="7" t="str">
        <f>_xlfn.XLOOKUP(H218, Sheet3!$E:$E, Sheet3!$D:$D, "")</f>
        <v>김태은</v>
      </c>
    </row>
    <row r="219" spans="1:26" x14ac:dyDescent="0.25">
      <c r="A219" t="s">
        <v>846</v>
      </c>
      <c r="B219" t="s">
        <v>31</v>
      </c>
      <c r="C219" t="s">
        <v>18</v>
      </c>
      <c r="D219" t="s">
        <v>850</v>
      </c>
      <c r="E219" t="s">
        <v>201</v>
      </c>
      <c r="F219" t="s">
        <v>35</v>
      </c>
      <c r="G219" t="s">
        <v>359</v>
      </c>
      <c r="J219" t="s">
        <v>851</v>
      </c>
      <c r="K219" t="s">
        <v>149</v>
      </c>
      <c r="L219" t="s">
        <v>852</v>
      </c>
      <c r="M219" t="s">
        <v>27</v>
      </c>
      <c r="N219" t="s">
        <v>74</v>
      </c>
      <c r="O219" t="s">
        <v>29</v>
      </c>
      <c r="P219" t="s">
        <v>89</v>
      </c>
      <c r="X219" s="7" t="str">
        <f>_xlfn.XLOOKUP(H219, Sheet3!$E:$E, Sheet3!$B:$B, "")</f>
        <v/>
      </c>
      <c r="Y219" s="7" t="str">
        <f>_xlfn.XLOOKUP(H219, Sheet3!$E:$E, Sheet3!$C:$C, "")</f>
        <v/>
      </c>
      <c r="Z219" s="7" t="str">
        <f>_xlfn.XLOOKUP(H219, Sheet3!$E:$E, Sheet3!$D:$D, "")</f>
        <v/>
      </c>
    </row>
    <row r="220" spans="1:26" x14ac:dyDescent="0.25">
      <c r="A220" t="s">
        <v>853</v>
      </c>
      <c r="B220" t="s">
        <v>17</v>
      </c>
      <c r="C220" t="s">
        <v>18</v>
      </c>
      <c r="D220" t="s">
        <v>854</v>
      </c>
      <c r="E220" t="s">
        <v>201</v>
      </c>
      <c r="F220" t="s">
        <v>35</v>
      </c>
      <c r="G220" t="s">
        <v>304</v>
      </c>
      <c r="H220" t="s">
        <v>855</v>
      </c>
      <c r="J220" t="s">
        <v>218</v>
      </c>
      <c r="K220" t="s">
        <v>149</v>
      </c>
      <c r="L220" t="s">
        <v>307</v>
      </c>
      <c r="M220" t="s">
        <v>27</v>
      </c>
      <c r="N220" t="s">
        <v>74</v>
      </c>
      <c r="O220" t="s">
        <v>29</v>
      </c>
      <c r="P220" t="s">
        <v>89</v>
      </c>
      <c r="Q220" t="s">
        <v>1100</v>
      </c>
      <c r="R220" s="7" t="s">
        <v>1154</v>
      </c>
      <c r="S220" s="7" t="s">
        <v>1158</v>
      </c>
      <c r="T220" s="5">
        <v>0.125</v>
      </c>
      <c r="U220" s="4" t="s">
        <v>1128</v>
      </c>
      <c r="V220" s="7" t="s">
        <v>1156</v>
      </c>
      <c r="X220" s="7" t="str">
        <f>_xlfn.XLOOKUP(H220, Sheet3!$E:$E, Sheet3!$B:$B, "")</f>
        <v>초등</v>
      </c>
      <c r="Y220" s="7" t="str">
        <f>_xlfn.XLOOKUP(H220, Sheet3!$E:$E, Sheet3!$C:$C, "")</f>
        <v>영어 3</v>
      </c>
      <c r="Z220" s="7" t="str">
        <f>_xlfn.XLOOKUP(H220, Sheet3!$E:$E, Sheet3!$D:$D, "")</f>
        <v>김태은</v>
      </c>
    </row>
    <row r="221" spans="1:26" x14ac:dyDescent="0.25">
      <c r="A221" t="s">
        <v>853</v>
      </c>
      <c r="B221" t="s">
        <v>31</v>
      </c>
      <c r="C221" t="s">
        <v>18</v>
      </c>
      <c r="D221" t="s">
        <v>856</v>
      </c>
      <c r="E221" t="s">
        <v>201</v>
      </c>
      <c r="F221" t="s">
        <v>35</v>
      </c>
      <c r="G221" t="s">
        <v>304</v>
      </c>
      <c r="J221" t="s">
        <v>220</v>
      </c>
      <c r="K221" t="s">
        <v>149</v>
      </c>
      <c r="L221" t="s">
        <v>307</v>
      </c>
      <c r="M221" t="s">
        <v>27</v>
      </c>
      <c r="N221" t="s">
        <v>74</v>
      </c>
      <c r="O221" t="s">
        <v>29</v>
      </c>
      <c r="P221" t="s">
        <v>89</v>
      </c>
      <c r="X221" s="7" t="str">
        <f>_xlfn.XLOOKUP(H221, Sheet3!$E:$E, Sheet3!$B:$B, "")</f>
        <v/>
      </c>
      <c r="Y221" s="7" t="str">
        <f>_xlfn.XLOOKUP(H221, Sheet3!$E:$E, Sheet3!$C:$C, "")</f>
        <v/>
      </c>
      <c r="Z221" s="7" t="str">
        <f>_xlfn.XLOOKUP(H221, Sheet3!$E:$E, Sheet3!$D:$D, "")</f>
        <v/>
      </c>
    </row>
    <row r="222" spans="1:26" x14ac:dyDescent="0.25">
      <c r="A222" t="s">
        <v>857</v>
      </c>
      <c r="B222" t="s">
        <v>17</v>
      </c>
      <c r="C222" t="s">
        <v>18</v>
      </c>
      <c r="D222" t="s">
        <v>858</v>
      </c>
      <c r="E222" t="s">
        <v>201</v>
      </c>
      <c r="F222" t="s">
        <v>35</v>
      </c>
      <c r="G222" t="s">
        <v>318</v>
      </c>
      <c r="H222" t="s">
        <v>859</v>
      </c>
      <c r="J222" t="s">
        <v>860</v>
      </c>
      <c r="K222" t="s">
        <v>149</v>
      </c>
      <c r="L222" t="s">
        <v>81</v>
      </c>
      <c r="M222" t="s">
        <v>27</v>
      </c>
      <c r="N222" t="s">
        <v>74</v>
      </c>
      <c r="O222" t="s">
        <v>29</v>
      </c>
      <c r="P222" t="s">
        <v>89</v>
      </c>
      <c r="Q222" s="7" t="s">
        <v>1088</v>
      </c>
      <c r="R222" s="7" t="s">
        <v>1125</v>
      </c>
      <c r="S222" s="7" t="s">
        <v>1152</v>
      </c>
      <c r="T222" s="5">
        <v>0.125</v>
      </c>
      <c r="U222" s="4" t="s">
        <v>1128</v>
      </c>
      <c r="V222" s="7" t="s">
        <v>1127</v>
      </c>
      <c r="X222" s="7" t="str">
        <f>_xlfn.XLOOKUP(H222, Sheet3!$E:$E, Sheet3!$B:$B, "")</f>
        <v>고등</v>
      </c>
      <c r="Y222" s="7" t="str">
        <f>_xlfn.XLOOKUP(H222, Sheet3!$E:$E, Sheet3!$C:$C, "")</f>
        <v>공통수학1</v>
      </c>
      <c r="Z222" s="7" t="str">
        <f>_xlfn.XLOOKUP(H222, Sheet3!$E:$E, Sheet3!$D:$D, "")</f>
        <v>홍진곤</v>
      </c>
    </row>
    <row r="223" spans="1:26" x14ac:dyDescent="0.25">
      <c r="A223" t="s">
        <v>857</v>
      </c>
      <c r="B223" t="s">
        <v>31</v>
      </c>
      <c r="C223" t="s">
        <v>18</v>
      </c>
      <c r="D223" t="s">
        <v>861</v>
      </c>
      <c r="E223" t="s">
        <v>201</v>
      </c>
      <c r="F223" t="s">
        <v>35</v>
      </c>
      <c r="G223" t="s">
        <v>318</v>
      </c>
      <c r="J223" t="s">
        <v>862</v>
      </c>
      <c r="K223" t="s">
        <v>149</v>
      </c>
      <c r="L223" t="s">
        <v>81</v>
      </c>
      <c r="M223" t="s">
        <v>27</v>
      </c>
      <c r="N223" t="s">
        <v>74</v>
      </c>
      <c r="O223" t="s">
        <v>29</v>
      </c>
      <c r="P223" t="s">
        <v>89</v>
      </c>
      <c r="X223" s="7" t="str">
        <f>_xlfn.XLOOKUP(H223, Sheet3!$E:$E, Sheet3!$B:$B, "")</f>
        <v/>
      </c>
      <c r="Y223" s="7" t="str">
        <f>_xlfn.XLOOKUP(H223, Sheet3!$E:$E, Sheet3!$C:$C, "")</f>
        <v/>
      </c>
      <c r="Z223" s="7" t="str">
        <f>_xlfn.XLOOKUP(H223, Sheet3!$E:$E, Sheet3!$D:$D, "")</f>
        <v/>
      </c>
    </row>
    <row r="224" spans="1:26" x14ac:dyDescent="0.25">
      <c r="A224" t="s">
        <v>863</v>
      </c>
      <c r="B224" t="s">
        <v>17</v>
      </c>
      <c r="C224" t="s">
        <v>18</v>
      </c>
      <c r="D224" t="s">
        <v>864</v>
      </c>
      <c r="E224" t="s">
        <v>201</v>
      </c>
      <c r="F224" t="s">
        <v>35</v>
      </c>
      <c r="G224" t="s">
        <v>261</v>
      </c>
      <c r="H224" t="s">
        <v>865</v>
      </c>
      <c r="J224" t="s">
        <v>866</v>
      </c>
      <c r="K224" t="s">
        <v>149</v>
      </c>
      <c r="L224" t="s">
        <v>122</v>
      </c>
      <c r="M224" t="s">
        <v>27</v>
      </c>
      <c r="N224" t="s">
        <v>74</v>
      </c>
      <c r="O224" t="s">
        <v>29</v>
      </c>
      <c r="P224" t="s">
        <v>89</v>
      </c>
      <c r="Q224" t="s">
        <v>1100</v>
      </c>
      <c r="R224" s="7" t="s">
        <v>1154</v>
      </c>
      <c r="S224" s="7" t="s">
        <v>1180</v>
      </c>
      <c r="T224" s="5">
        <v>0.125</v>
      </c>
      <c r="U224" s="4" t="s">
        <v>1128</v>
      </c>
      <c r="V224" s="7" t="s">
        <v>1156</v>
      </c>
      <c r="X224" s="7" t="str">
        <f>_xlfn.XLOOKUP(H224, Sheet3!$E:$E, Sheet3!$B:$B, "")</f>
        <v>고등</v>
      </c>
      <c r="Y224" s="7" t="str">
        <f>_xlfn.XLOOKUP(H224, Sheet3!$E:$E, Sheet3!$C:$C, "")</f>
        <v>공통수학1</v>
      </c>
      <c r="Z224" s="7" t="str">
        <f>_xlfn.XLOOKUP(H224, Sheet3!$E:$E, Sheet3!$D:$D, "")</f>
        <v>홍진곤</v>
      </c>
    </row>
    <row r="225" spans="1:26" x14ac:dyDescent="0.25">
      <c r="A225" t="s">
        <v>863</v>
      </c>
      <c r="B225" t="s">
        <v>31</v>
      </c>
      <c r="C225" t="s">
        <v>18</v>
      </c>
      <c r="D225" t="s">
        <v>867</v>
      </c>
      <c r="E225" t="s">
        <v>201</v>
      </c>
      <c r="F225" t="s">
        <v>35</v>
      </c>
      <c r="G225" t="s">
        <v>261</v>
      </c>
      <c r="J225" t="s">
        <v>868</v>
      </c>
      <c r="K225" t="s">
        <v>149</v>
      </c>
      <c r="L225" t="s">
        <v>122</v>
      </c>
      <c r="M225" t="s">
        <v>27</v>
      </c>
      <c r="N225" t="s">
        <v>74</v>
      </c>
      <c r="O225" t="s">
        <v>29</v>
      </c>
      <c r="P225" t="s">
        <v>89</v>
      </c>
      <c r="X225" s="7" t="str">
        <f>_xlfn.XLOOKUP(H225, Sheet3!$E:$E, Sheet3!$B:$B, "")</f>
        <v/>
      </c>
      <c r="Y225" s="7" t="str">
        <f>_xlfn.XLOOKUP(H225, Sheet3!$E:$E, Sheet3!$C:$C, "")</f>
        <v/>
      </c>
      <c r="Z225" s="7" t="str">
        <f>_xlfn.XLOOKUP(H225, Sheet3!$E:$E, Sheet3!$D:$D, "")</f>
        <v/>
      </c>
    </row>
    <row r="226" spans="1:26" x14ac:dyDescent="0.25">
      <c r="A226" t="s">
        <v>869</v>
      </c>
      <c r="B226" t="s">
        <v>17</v>
      </c>
      <c r="C226" t="s">
        <v>18</v>
      </c>
      <c r="D226" t="s">
        <v>870</v>
      </c>
      <c r="E226" t="s">
        <v>201</v>
      </c>
      <c r="F226" t="s">
        <v>35</v>
      </c>
      <c r="G226" t="s">
        <v>323</v>
      </c>
      <c r="H226" t="s">
        <v>871</v>
      </c>
      <c r="J226" t="s">
        <v>872</v>
      </c>
      <c r="K226" t="s">
        <v>149</v>
      </c>
      <c r="L226" t="s">
        <v>81</v>
      </c>
      <c r="M226" t="s">
        <v>27</v>
      </c>
      <c r="N226" t="s">
        <v>74</v>
      </c>
      <c r="O226" t="s">
        <v>29</v>
      </c>
      <c r="P226" t="s">
        <v>89</v>
      </c>
      <c r="Q226" s="7" t="s">
        <v>1088</v>
      </c>
      <c r="R226" s="7" t="s">
        <v>1125</v>
      </c>
      <c r="S226" s="7" t="s">
        <v>1150</v>
      </c>
      <c r="T226" s="5">
        <v>0.125</v>
      </c>
      <c r="U226" s="4" t="s">
        <v>1128</v>
      </c>
      <c r="V226" s="7" t="s">
        <v>1127</v>
      </c>
      <c r="X226" s="7" t="str">
        <f>_xlfn.XLOOKUP(H226, Sheet3!$E:$E, Sheet3!$B:$B, "")</f>
        <v>고등</v>
      </c>
      <c r="Y226" s="7" t="str">
        <f>_xlfn.XLOOKUP(H226, Sheet3!$E:$E, Sheet3!$C:$C, "")</f>
        <v>공통수학1</v>
      </c>
      <c r="Z226" s="7" t="str">
        <f>_xlfn.XLOOKUP(H226, Sheet3!$E:$E, Sheet3!$D:$D, "")</f>
        <v>전인태</v>
      </c>
    </row>
    <row r="227" spans="1:26" x14ac:dyDescent="0.25">
      <c r="A227" t="s">
        <v>869</v>
      </c>
      <c r="B227" t="s">
        <v>31</v>
      </c>
      <c r="C227" t="s">
        <v>18</v>
      </c>
      <c r="D227" t="s">
        <v>873</v>
      </c>
      <c r="E227" t="s">
        <v>201</v>
      </c>
      <c r="F227" t="s">
        <v>35</v>
      </c>
      <c r="G227" t="s">
        <v>323</v>
      </c>
      <c r="J227" t="s">
        <v>874</v>
      </c>
      <c r="K227" t="s">
        <v>149</v>
      </c>
      <c r="L227" t="s">
        <v>81</v>
      </c>
      <c r="M227" t="s">
        <v>27</v>
      </c>
      <c r="N227" t="s">
        <v>74</v>
      </c>
      <c r="O227" t="s">
        <v>29</v>
      </c>
      <c r="P227" t="s">
        <v>89</v>
      </c>
      <c r="X227" s="7" t="str">
        <f>_xlfn.XLOOKUP(H227, Sheet3!$E:$E, Sheet3!$B:$B, "")</f>
        <v/>
      </c>
      <c r="Y227" s="7" t="str">
        <f>_xlfn.XLOOKUP(H227, Sheet3!$E:$E, Sheet3!$C:$C, "")</f>
        <v/>
      </c>
      <c r="Z227" s="7" t="str">
        <f>_xlfn.XLOOKUP(H227, Sheet3!$E:$E, Sheet3!$D:$D, "")</f>
        <v/>
      </c>
    </row>
    <row r="228" spans="1:26" x14ac:dyDescent="0.25">
      <c r="A228" t="s">
        <v>875</v>
      </c>
      <c r="B228" t="s">
        <v>17</v>
      </c>
      <c r="C228" t="s">
        <v>18</v>
      </c>
      <c r="D228" t="s">
        <v>876</v>
      </c>
      <c r="E228" t="s">
        <v>201</v>
      </c>
      <c r="F228" t="s">
        <v>35</v>
      </c>
      <c r="G228" t="s">
        <v>267</v>
      </c>
      <c r="H228" t="s">
        <v>877</v>
      </c>
      <c r="J228" t="s">
        <v>878</v>
      </c>
      <c r="K228" t="s">
        <v>149</v>
      </c>
      <c r="L228" t="s">
        <v>122</v>
      </c>
      <c r="M228" t="s">
        <v>27</v>
      </c>
      <c r="N228" t="s">
        <v>74</v>
      </c>
      <c r="O228" t="s">
        <v>29</v>
      </c>
      <c r="P228" t="s">
        <v>89</v>
      </c>
      <c r="Q228" t="s">
        <v>1100</v>
      </c>
      <c r="R228" s="7" t="s">
        <v>1154</v>
      </c>
      <c r="S228" s="7" t="s">
        <v>1178</v>
      </c>
      <c r="T228" s="5">
        <v>0.125</v>
      </c>
      <c r="U228" s="4" t="s">
        <v>1128</v>
      </c>
      <c r="V228" s="7" t="s">
        <v>1156</v>
      </c>
      <c r="X228" s="7" t="str">
        <f>_xlfn.XLOOKUP(H228, Sheet3!$E:$E, Sheet3!$B:$B, "")</f>
        <v>고등</v>
      </c>
      <c r="Y228" s="7" t="str">
        <f>_xlfn.XLOOKUP(H228, Sheet3!$E:$E, Sheet3!$C:$C, "")</f>
        <v>공통수학1</v>
      </c>
      <c r="Z228" s="7" t="str">
        <f>_xlfn.XLOOKUP(H228, Sheet3!$E:$E, Sheet3!$D:$D, "")</f>
        <v>전인태</v>
      </c>
    </row>
    <row r="229" spans="1:26" x14ac:dyDescent="0.25">
      <c r="A229" t="s">
        <v>875</v>
      </c>
      <c r="B229" t="s">
        <v>31</v>
      </c>
      <c r="C229" t="s">
        <v>18</v>
      </c>
      <c r="D229" t="s">
        <v>879</v>
      </c>
      <c r="E229" t="s">
        <v>201</v>
      </c>
      <c r="F229" t="s">
        <v>35</v>
      </c>
      <c r="G229" t="s">
        <v>267</v>
      </c>
      <c r="J229" t="s">
        <v>880</v>
      </c>
      <c r="K229" t="s">
        <v>149</v>
      </c>
      <c r="L229" t="s">
        <v>122</v>
      </c>
      <c r="M229" t="s">
        <v>27</v>
      </c>
      <c r="N229" t="s">
        <v>74</v>
      </c>
      <c r="O229" t="s">
        <v>29</v>
      </c>
      <c r="P229" t="s">
        <v>89</v>
      </c>
      <c r="X229" s="7" t="str">
        <f>_xlfn.XLOOKUP(H229, Sheet3!$E:$E, Sheet3!$B:$B, "")</f>
        <v/>
      </c>
      <c r="Y229" s="7" t="str">
        <f>_xlfn.XLOOKUP(H229, Sheet3!$E:$E, Sheet3!$C:$C, "")</f>
        <v/>
      </c>
      <c r="Z229" s="7" t="str">
        <f>_xlfn.XLOOKUP(H229, Sheet3!$E:$E, Sheet3!$D:$D, "")</f>
        <v/>
      </c>
    </row>
    <row r="230" spans="1:26" x14ac:dyDescent="0.25">
      <c r="A230" t="s">
        <v>881</v>
      </c>
      <c r="B230" t="s">
        <v>17</v>
      </c>
      <c r="C230" t="s">
        <v>18</v>
      </c>
      <c r="D230" t="s">
        <v>882</v>
      </c>
      <c r="E230" t="s">
        <v>201</v>
      </c>
      <c r="F230" t="s">
        <v>35</v>
      </c>
      <c r="G230" t="s">
        <v>883</v>
      </c>
      <c r="H230" t="s">
        <v>884</v>
      </c>
      <c r="J230" t="s">
        <v>885</v>
      </c>
      <c r="K230" t="s">
        <v>149</v>
      </c>
      <c r="L230" t="s">
        <v>886</v>
      </c>
      <c r="M230" t="s">
        <v>27</v>
      </c>
      <c r="N230" t="s">
        <v>74</v>
      </c>
      <c r="O230" t="s">
        <v>29</v>
      </c>
      <c r="P230" t="s">
        <v>89</v>
      </c>
      <c r="Q230" s="7" t="s">
        <v>1088</v>
      </c>
      <c r="R230" s="7" t="s">
        <v>1125</v>
      </c>
      <c r="S230" s="7" t="s">
        <v>1149</v>
      </c>
      <c r="T230" s="5">
        <v>0.125</v>
      </c>
      <c r="U230" s="4" t="s">
        <v>1128</v>
      </c>
      <c r="V230" s="7" t="s">
        <v>1127</v>
      </c>
      <c r="X230" s="7" t="str">
        <f>_xlfn.XLOOKUP(H230, Sheet3!$E:$E, Sheet3!$B:$B, "")</f>
        <v>중학</v>
      </c>
      <c r="Y230" s="7" t="str">
        <f>_xlfn.XLOOKUP(H230, Sheet3!$E:$E, Sheet3!$C:$C, "")</f>
        <v>수학</v>
      </c>
      <c r="Z230" s="7" t="str">
        <f>_xlfn.XLOOKUP(H230, Sheet3!$E:$E, Sheet3!$D:$D, "")</f>
        <v>김화경</v>
      </c>
    </row>
    <row r="231" spans="1:26" x14ac:dyDescent="0.25">
      <c r="A231" t="s">
        <v>881</v>
      </c>
      <c r="B231" t="s">
        <v>31</v>
      </c>
      <c r="C231" t="s">
        <v>18</v>
      </c>
      <c r="D231" t="s">
        <v>887</v>
      </c>
      <c r="E231" t="s">
        <v>201</v>
      </c>
      <c r="F231" t="s">
        <v>35</v>
      </c>
      <c r="G231" t="s">
        <v>883</v>
      </c>
      <c r="J231" t="s">
        <v>888</v>
      </c>
      <c r="K231" t="s">
        <v>149</v>
      </c>
      <c r="L231" t="s">
        <v>509</v>
      </c>
      <c r="M231" t="s">
        <v>27</v>
      </c>
      <c r="N231" t="s">
        <v>74</v>
      </c>
      <c r="O231" t="s">
        <v>29</v>
      </c>
      <c r="P231" t="s">
        <v>89</v>
      </c>
      <c r="X231" s="7" t="str">
        <f>_xlfn.XLOOKUP(H231, Sheet3!$E:$E, Sheet3!$B:$B, "")</f>
        <v/>
      </c>
      <c r="Y231" s="7" t="str">
        <f>_xlfn.XLOOKUP(H231, Sheet3!$E:$E, Sheet3!$C:$C, "")</f>
        <v/>
      </c>
      <c r="Z231" s="7" t="str">
        <f>_xlfn.XLOOKUP(H231, Sheet3!$E:$E, Sheet3!$D:$D, "")</f>
        <v/>
      </c>
    </row>
    <row r="232" spans="1:26" x14ac:dyDescent="0.25">
      <c r="A232" t="s">
        <v>889</v>
      </c>
      <c r="B232" t="s">
        <v>17</v>
      </c>
      <c r="C232" t="s">
        <v>18</v>
      </c>
      <c r="D232" t="s">
        <v>890</v>
      </c>
      <c r="E232" t="s">
        <v>201</v>
      </c>
      <c r="F232" t="s">
        <v>35</v>
      </c>
      <c r="G232" t="s">
        <v>891</v>
      </c>
      <c r="H232" t="s">
        <v>892</v>
      </c>
      <c r="J232" t="s">
        <v>893</v>
      </c>
      <c r="K232" t="s">
        <v>149</v>
      </c>
      <c r="L232" t="s">
        <v>226</v>
      </c>
      <c r="M232" t="s">
        <v>27</v>
      </c>
      <c r="N232" t="s">
        <v>74</v>
      </c>
      <c r="O232" t="s">
        <v>29</v>
      </c>
      <c r="P232" t="s">
        <v>89</v>
      </c>
      <c r="Q232" t="s">
        <v>1100</v>
      </c>
      <c r="R232" s="7" t="s">
        <v>1154</v>
      </c>
      <c r="S232" s="7" t="s">
        <v>1177</v>
      </c>
      <c r="T232" s="5">
        <v>0.125</v>
      </c>
      <c r="U232" s="4" t="s">
        <v>1128</v>
      </c>
      <c r="V232" s="7" t="s">
        <v>1156</v>
      </c>
      <c r="X232" s="7" t="str">
        <f>_xlfn.XLOOKUP(H232, Sheet3!$E:$E, Sheet3!$B:$B, "")</f>
        <v>중학</v>
      </c>
      <c r="Y232" s="7" t="str">
        <f>_xlfn.XLOOKUP(H232, Sheet3!$E:$E, Sheet3!$C:$C, "")</f>
        <v>수학</v>
      </c>
      <c r="Z232" s="7" t="str">
        <f>_xlfn.XLOOKUP(H232, Sheet3!$E:$E, Sheet3!$D:$D, "")</f>
        <v>김화경</v>
      </c>
    </row>
    <row r="233" spans="1:26" x14ac:dyDescent="0.25">
      <c r="A233" t="s">
        <v>889</v>
      </c>
      <c r="B233" t="s">
        <v>31</v>
      </c>
      <c r="C233" t="s">
        <v>18</v>
      </c>
      <c r="D233" t="s">
        <v>894</v>
      </c>
      <c r="E233" t="s">
        <v>201</v>
      </c>
      <c r="F233" t="s">
        <v>35</v>
      </c>
      <c r="G233" t="s">
        <v>891</v>
      </c>
      <c r="J233" t="s">
        <v>895</v>
      </c>
      <c r="K233" t="s">
        <v>149</v>
      </c>
      <c r="L233" t="s">
        <v>212</v>
      </c>
      <c r="M233" t="s">
        <v>27</v>
      </c>
      <c r="N233" t="s">
        <v>74</v>
      </c>
      <c r="O233" t="s">
        <v>29</v>
      </c>
      <c r="P233" t="s">
        <v>89</v>
      </c>
      <c r="X233" s="7" t="str">
        <f>_xlfn.XLOOKUP(H233, Sheet3!$E:$E, Sheet3!$B:$B, "")</f>
        <v/>
      </c>
      <c r="Y233" s="7" t="str">
        <f>_xlfn.XLOOKUP(H233, Sheet3!$E:$E, Sheet3!$C:$C, "")</f>
        <v/>
      </c>
      <c r="Z233" s="7" t="str">
        <f>_xlfn.XLOOKUP(H233, Sheet3!$E:$E, Sheet3!$D:$D, "")</f>
        <v/>
      </c>
    </row>
    <row r="234" spans="1:26" x14ac:dyDescent="0.25">
      <c r="A234" t="s">
        <v>896</v>
      </c>
      <c r="B234" t="s">
        <v>17</v>
      </c>
      <c r="C234" t="s">
        <v>18</v>
      </c>
      <c r="D234" t="s">
        <v>897</v>
      </c>
      <c r="E234" t="s">
        <v>201</v>
      </c>
      <c r="F234" t="s">
        <v>35</v>
      </c>
      <c r="G234" t="s">
        <v>898</v>
      </c>
      <c r="H234" t="s">
        <v>899</v>
      </c>
      <c r="J234" t="s">
        <v>872</v>
      </c>
      <c r="K234" t="s">
        <v>149</v>
      </c>
      <c r="L234" t="s">
        <v>900</v>
      </c>
      <c r="M234" t="s">
        <v>27</v>
      </c>
      <c r="N234" t="s">
        <v>74</v>
      </c>
      <c r="O234" t="s">
        <v>29</v>
      </c>
      <c r="P234" t="s">
        <v>89</v>
      </c>
      <c r="Q234" s="7" t="s">
        <v>1088</v>
      </c>
      <c r="R234" s="7" t="s">
        <v>1125</v>
      </c>
      <c r="S234" s="7" t="s">
        <v>1148</v>
      </c>
      <c r="T234" s="5">
        <v>0.125</v>
      </c>
      <c r="U234" s="4" t="s">
        <v>1128</v>
      </c>
      <c r="V234" s="7" t="s">
        <v>1127</v>
      </c>
      <c r="X234" s="7" t="str">
        <f>_xlfn.XLOOKUP(H234, Sheet3!$E:$E, Sheet3!$B:$B, "")</f>
        <v>중학</v>
      </c>
      <c r="Y234" s="7" t="str">
        <f>_xlfn.XLOOKUP(H234, Sheet3!$E:$E, Sheet3!$C:$C, "")</f>
        <v>수학</v>
      </c>
      <c r="Z234" s="7" t="str">
        <f>_xlfn.XLOOKUP(H234, Sheet3!$E:$E, Sheet3!$D:$D, "")</f>
        <v>김동재</v>
      </c>
    </row>
    <row r="235" spans="1:26" x14ac:dyDescent="0.25">
      <c r="A235" t="s">
        <v>896</v>
      </c>
      <c r="B235" t="s">
        <v>31</v>
      </c>
      <c r="C235" t="s">
        <v>18</v>
      </c>
      <c r="D235" t="s">
        <v>901</v>
      </c>
      <c r="E235" t="s">
        <v>201</v>
      </c>
      <c r="F235" t="s">
        <v>35</v>
      </c>
      <c r="G235" t="s">
        <v>898</v>
      </c>
      <c r="J235" t="s">
        <v>902</v>
      </c>
      <c r="K235" t="s">
        <v>149</v>
      </c>
      <c r="L235" t="s">
        <v>900</v>
      </c>
      <c r="M235" t="s">
        <v>27</v>
      </c>
      <c r="N235" t="s">
        <v>74</v>
      </c>
      <c r="O235" t="s">
        <v>29</v>
      </c>
      <c r="P235" t="s">
        <v>89</v>
      </c>
      <c r="X235" s="7" t="str">
        <f>_xlfn.XLOOKUP(H235, Sheet3!$E:$E, Sheet3!$B:$B, "")</f>
        <v/>
      </c>
      <c r="Y235" s="7" t="str">
        <f>_xlfn.XLOOKUP(H235, Sheet3!$E:$E, Sheet3!$C:$C, "")</f>
        <v/>
      </c>
      <c r="Z235" s="7" t="str">
        <f>_xlfn.XLOOKUP(H235, Sheet3!$E:$E, Sheet3!$D:$D, "")</f>
        <v/>
      </c>
    </row>
    <row r="236" spans="1:26" x14ac:dyDescent="0.25">
      <c r="A236" t="s">
        <v>903</v>
      </c>
      <c r="B236" t="s">
        <v>17</v>
      </c>
      <c r="C236" t="s">
        <v>18</v>
      </c>
      <c r="D236" t="s">
        <v>904</v>
      </c>
      <c r="E236" t="s">
        <v>201</v>
      </c>
      <c r="F236" t="s">
        <v>35</v>
      </c>
      <c r="G236" t="s">
        <v>905</v>
      </c>
      <c r="H236" t="s">
        <v>906</v>
      </c>
      <c r="J236" t="s">
        <v>885</v>
      </c>
      <c r="K236" t="s">
        <v>149</v>
      </c>
      <c r="L236" t="s">
        <v>273</v>
      </c>
      <c r="M236" t="s">
        <v>27</v>
      </c>
      <c r="N236" t="s">
        <v>74</v>
      </c>
      <c r="O236" t="s">
        <v>29</v>
      </c>
      <c r="P236" t="s">
        <v>89</v>
      </c>
      <c r="Q236" t="s">
        <v>1100</v>
      </c>
      <c r="R236" s="7" t="s">
        <v>1154</v>
      </c>
      <c r="S236" s="7" t="s">
        <v>1176</v>
      </c>
      <c r="T236" s="5">
        <v>0.125</v>
      </c>
      <c r="U236" s="4" t="s">
        <v>1128</v>
      </c>
      <c r="V236" s="7" t="s">
        <v>1156</v>
      </c>
      <c r="X236" s="7" t="str">
        <f>_xlfn.XLOOKUP(H236, Sheet3!$E:$E, Sheet3!$B:$B, "")</f>
        <v>중학</v>
      </c>
      <c r="Y236" s="7" t="str">
        <f>_xlfn.XLOOKUP(H236, Sheet3!$E:$E, Sheet3!$C:$C, "")</f>
        <v>수학</v>
      </c>
      <c r="Z236" s="7" t="str">
        <f>_xlfn.XLOOKUP(H236, Sheet3!$E:$E, Sheet3!$D:$D, "")</f>
        <v>김동재</v>
      </c>
    </row>
    <row r="237" spans="1:26" x14ac:dyDescent="0.25">
      <c r="A237" t="s">
        <v>903</v>
      </c>
      <c r="B237" t="s">
        <v>31</v>
      </c>
      <c r="C237" t="s">
        <v>18</v>
      </c>
      <c r="D237" t="s">
        <v>907</v>
      </c>
      <c r="E237" t="s">
        <v>201</v>
      </c>
      <c r="F237" t="s">
        <v>35</v>
      </c>
      <c r="G237" t="s">
        <v>905</v>
      </c>
      <c r="J237" t="s">
        <v>888</v>
      </c>
      <c r="K237" t="s">
        <v>149</v>
      </c>
      <c r="L237" t="s">
        <v>226</v>
      </c>
      <c r="M237" t="s">
        <v>27</v>
      </c>
      <c r="N237" t="s">
        <v>74</v>
      </c>
      <c r="O237" t="s">
        <v>29</v>
      </c>
      <c r="P237" t="s">
        <v>89</v>
      </c>
      <c r="X237" s="7" t="str">
        <f>_xlfn.XLOOKUP(H237, Sheet3!$E:$E, Sheet3!$B:$B, "")</f>
        <v/>
      </c>
      <c r="Y237" s="7" t="str">
        <f>_xlfn.XLOOKUP(H237, Sheet3!$E:$E, Sheet3!$C:$C, "")</f>
        <v/>
      </c>
      <c r="Z237" s="7" t="str">
        <f>_xlfn.XLOOKUP(H237, Sheet3!$E:$E, Sheet3!$D:$D, "")</f>
        <v/>
      </c>
    </row>
    <row r="238" spans="1:26" x14ac:dyDescent="0.25">
      <c r="A238" t="s">
        <v>908</v>
      </c>
      <c r="B238" t="s">
        <v>17</v>
      </c>
      <c r="C238" t="s">
        <v>18</v>
      </c>
      <c r="D238" t="s">
        <v>909</v>
      </c>
      <c r="E238" t="s">
        <v>201</v>
      </c>
      <c r="F238" t="s">
        <v>35</v>
      </c>
      <c r="G238" t="s">
        <v>235</v>
      </c>
      <c r="H238" t="s">
        <v>910</v>
      </c>
      <c r="J238" t="s">
        <v>911</v>
      </c>
      <c r="K238" t="s">
        <v>149</v>
      </c>
      <c r="L238" t="s">
        <v>912</v>
      </c>
      <c r="M238" t="s">
        <v>27</v>
      </c>
      <c r="N238" t="s">
        <v>74</v>
      </c>
      <c r="O238" t="s">
        <v>29</v>
      </c>
      <c r="P238" t="s">
        <v>89</v>
      </c>
      <c r="Q238" s="7" t="s">
        <v>1088</v>
      </c>
      <c r="R238" s="7" t="s">
        <v>1125</v>
      </c>
      <c r="S238" s="7" t="s">
        <v>1144</v>
      </c>
      <c r="T238" s="5">
        <v>0.125</v>
      </c>
      <c r="U238" s="4" t="s">
        <v>1128</v>
      </c>
      <c r="V238" s="7" t="s">
        <v>1127</v>
      </c>
      <c r="X238" s="7" t="str">
        <f>_xlfn.XLOOKUP(H238, Sheet3!$E:$E, Sheet3!$B:$B, "")</f>
        <v>초등</v>
      </c>
      <c r="Y238" s="7" t="str">
        <f>_xlfn.XLOOKUP(H238, Sheet3!$E:$E, Sheet3!$C:$C, "")</f>
        <v>수학 3-1</v>
      </c>
      <c r="Z238" s="7" t="str">
        <f>_xlfn.XLOOKUP(H238, Sheet3!$E:$E, Sheet3!$D:$D, "")</f>
        <v>한대희</v>
      </c>
    </row>
    <row r="239" spans="1:26" x14ac:dyDescent="0.25">
      <c r="A239" t="s">
        <v>908</v>
      </c>
      <c r="B239" t="s">
        <v>31</v>
      </c>
      <c r="C239" t="s">
        <v>18</v>
      </c>
      <c r="D239" t="s">
        <v>913</v>
      </c>
      <c r="E239" t="s">
        <v>201</v>
      </c>
      <c r="F239" t="s">
        <v>35</v>
      </c>
      <c r="G239" t="s">
        <v>235</v>
      </c>
      <c r="J239" t="s">
        <v>914</v>
      </c>
      <c r="K239" t="s">
        <v>149</v>
      </c>
      <c r="L239" t="s">
        <v>912</v>
      </c>
      <c r="M239" t="s">
        <v>27</v>
      </c>
      <c r="N239" t="s">
        <v>74</v>
      </c>
      <c r="O239" t="s">
        <v>29</v>
      </c>
      <c r="P239" t="s">
        <v>89</v>
      </c>
      <c r="X239" s="7" t="str">
        <f>_xlfn.XLOOKUP(H239, Sheet3!$E:$E, Sheet3!$B:$B, "")</f>
        <v/>
      </c>
      <c r="Y239" s="7" t="str">
        <f>_xlfn.XLOOKUP(H239, Sheet3!$E:$E, Sheet3!$C:$C, "")</f>
        <v/>
      </c>
      <c r="Z239" s="7" t="str">
        <f>_xlfn.XLOOKUP(H239, Sheet3!$E:$E, Sheet3!$D:$D, "")</f>
        <v/>
      </c>
    </row>
    <row r="240" spans="1:26" x14ac:dyDescent="0.25">
      <c r="A240" t="s">
        <v>915</v>
      </c>
      <c r="B240" t="s">
        <v>17</v>
      </c>
      <c r="C240" t="s">
        <v>18</v>
      </c>
      <c r="D240" t="s">
        <v>916</v>
      </c>
      <c r="E240" t="s">
        <v>201</v>
      </c>
      <c r="F240" t="s">
        <v>35</v>
      </c>
      <c r="G240" t="s">
        <v>210</v>
      </c>
      <c r="H240" t="s">
        <v>917</v>
      </c>
      <c r="J240" t="s">
        <v>918</v>
      </c>
      <c r="K240" t="s">
        <v>149</v>
      </c>
      <c r="L240" t="s">
        <v>273</v>
      </c>
      <c r="M240" t="s">
        <v>27</v>
      </c>
      <c r="N240" t="s">
        <v>74</v>
      </c>
      <c r="O240" t="s">
        <v>29</v>
      </c>
      <c r="P240" t="s">
        <v>89</v>
      </c>
      <c r="Q240" t="s">
        <v>1100</v>
      </c>
      <c r="R240" s="7" t="s">
        <v>1154</v>
      </c>
      <c r="S240" s="7" t="s">
        <v>1172</v>
      </c>
      <c r="T240" s="5">
        <v>0.125</v>
      </c>
      <c r="U240" s="4" t="s">
        <v>1128</v>
      </c>
      <c r="V240" s="7" t="s">
        <v>1156</v>
      </c>
      <c r="X240" s="7" t="str">
        <f>_xlfn.XLOOKUP(H240, Sheet3!$E:$E, Sheet3!$B:$B, "")</f>
        <v>초등</v>
      </c>
      <c r="Y240" s="7" t="str">
        <f>_xlfn.XLOOKUP(H240, Sheet3!$E:$E, Sheet3!$C:$C, "")</f>
        <v>수학 3-1</v>
      </c>
      <c r="Z240" s="7" t="str">
        <f>_xlfn.XLOOKUP(H240, Sheet3!$E:$E, Sheet3!$D:$D, "")</f>
        <v>한대희</v>
      </c>
    </row>
    <row r="241" spans="1:26" x14ac:dyDescent="0.25">
      <c r="A241" t="s">
        <v>915</v>
      </c>
      <c r="B241" t="s">
        <v>31</v>
      </c>
      <c r="C241" t="s">
        <v>18</v>
      </c>
      <c r="D241" t="s">
        <v>919</v>
      </c>
      <c r="E241" t="s">
        <v>201</v>
      </c>
      <c r="F241" t="s">
        <v>35</v>
      </c>
      <c r="G241" t="s">
        <v>210</v>
      </c>
      <c r="J241" t="s">
        <v>902</v>
      </c>
      <c r="K241" t="s">
        <v>149</v>
      </c>
      <c r="L241" t="s">
        <v>273</v>
      </c>
      <c r="M241" t="s">
        <v>27</v>
      </c>
      <c r="N241" t="s">
        <v>74</v>
      </c>
      <c r="O241" t="s">
        <v>29</v>
      </c>
      <c r="P241" t="s">
        <v>89</v>
      </c>
      <c r="X241" s="7" t="str">
        <f>_xlfn.XLOOKUP(H241, Sheet3!$E:$E, Sheet3!$B:$B, "")</f>
        <v/>
      </c>
      <c r="Y241" s="7" t="str">
        <f>_xlfn.XLOOKUP(H241, Sheet3!$E:$E, Sheet3!$C:$C, "")</f>
        <v/>
      </c>
      <c r="Z241" s="7" t="str">
        <f>_xlfn.XLOOKUP(H241, Sheet3!$E:$E, Sheet3!$D:$D, "")</f>
        <v/>
      </c>
    </row>
    <row r="242" spans="1:26" x14ac:dyDescent="0.25">
      <c r="A242" t="s">
        <v>920</v>
      </c>
      <c r="B242" t="s">
        <v>17</v>
      </c>
      <c r="C242" t="s">
        <v>18</v>
      </c>
      <c r="D242" t="s">
        <v>921</v>
      </c>
      <c r="E242" t="s">
        <v>201</v>
      </c>
      <c r="F242" t="s">
        <v>35</v>
      </c>
      <c r="G242" t="s">
        <v>202</v>
      </c>
      <c r="H242" t="s">
        <v>922</v>
      </c>
      <c r="J242" t="s">
        <v>911</v>
      </c>
      <c r="K242" t="s">
        <v>149</v>
      </c>
      <c r="L242" t="s">
        <v>923</v>
      </c>
      <c r="M242" t="s">
        <v>27</v>
      </c>
      <c r="N242" t="s">
        <v>74</v>
      </c>
      <c r="O242" t="s">
        <v>29</v>
      </c>
      <c r="P242" t="s">
        <v>89</v>
      </c>
      <c r="Q242" s="7" t="s">
        <v>1088</v>
      </c>
      <c r="R242" s="7" t="s">
        <v>1125</v>
      </c>
      <c r="S242" s="7" t="s">
        <v>1140</v>
      </c>
      <c r="T242" s="5">
        <v>0.125</v>
      </c>
      <c r="U242" s="4" t="s">
        <v>1128</v>
      </c>
      <c r="V242" s="7" t="s">
        <v>1127</v>
      </c>
      <c r="X242" s="7" t="str">
        <f>_xlfn.XLOOKUP(H242, Sheet3!$E:$E, Sheet3!$B:$B, "")</f>
        <v>초등</v>
      </c>
      <c r="Y242" s="7" t="str">
        <f>_xlfn.XLOOKUP(H242, Sheet3!$E:$E, Sheet3!$C:$C, "")</f>
        <v>수학 3-1</v>
      </c>
      <c r="Z242" s="7" t="str">
        <f>_xlfn.XLOOKUP(H242, Sheet3!$E:$E, Sheet3!$D:$D, "")</f>
        <v>박만구</v>
      </c>
    </row>
    <row r="243" spans="1:26" x14ac:dyDescent="0.25">
      <c r="A243" t="s">
        <v>920</v>
      </c>
      <c r="B243" t="s">
        <v>31</v>
      </c>
      <c r="C243" t="s">
        <v>18</v>
      </c>
      <c r="D243" t="s">
        <v>924</v>
      </c>
      <c r="E243" t="s">
        <v>201</v>
      </c>
      <c r="F243" t="s">
        <v>35</v>
      </c>
      <c r="G243" t="s">
        <v>202</v>
      </c>
      <c r="J243" t="s">
        <v>925</v>
      </c>
      <c r="K243" t="s">
        <v>149</v>
      </c>
      <c r="L243" t="s">
        <v>923</v>
      </c>
      <c r="M243" t="s">
        <v>27</v>
      </c>
      <c r="N243" t="s">
        <v>74</v>
      </c>
      <c r="O243" t="s">
        <v>29</v>
      </c>
      <c r="P243" t="s">
        <v>89</v>
      </c>
      <c r="X243" s="7" t="str">
        <f>_xlfn.XLOOKUP(H243, Sheet3!$E:$E, Sheet3!$B:$B, "")</f>
        <v/>
      </c>
      <c r="Y243" s="7" t="str">
        <f>_xlfn.XLOOKUP(H243, Sheet3!$E:$E, Sheet3!$C:$C, "")</f>
        <v/>
      </c>
      <c r="Z243" s="7" t="str">
        <f>_xlfn.XLOOKUP(H243, Sheet3!$E:$E, Sheet3!$D:$D, "")</f>
        <v/>
      </c>
    </row>
    <row r="244" spans="1:26" x14ac:dyDescent="0.25">
      <c r="A244" t="s">
        <v>926</v>
      </c>
      <c r="B244" t="s">
        <v>17</v>
      </c>
      <c r="C244" t="s">
        <v>18</v>
      </c>
      <c r="D244" t="s">
        <v>927</v>
      </c>
      <c r="E244" t="s">
        <v>201</v>
      </c>
      <c r="F244" t="s">
        <v>35</v>
      </c>
      <c r="G244" t="s">
        <v>223</v>
      </c>
      <c r="H244" t="s">
        <v>928</v>
      </c>
      <c r="J244" t="s">
        <v>885</v>
      </c>
      <c r="K244" t="s">
        <v>149</v>
      </c>
      <c r="L244" t="s">
        <v>280</v>
      </c>
      <c r="M244" t="s">
        <v>27</v>
      </c>
      <c r="N244" t="s">
        <v>74</v>
      </c>
      <c r="O244" t="s">
        <v>29</v>
      </c>
      <c r="P244" t="s">
        <v>89</v>
      </c>
      <c r="Q244" t="s">
        <v>1100</v>
      </c>
      <c r="R244" s="7" t="s">
        <v>1154</v>
      </c>
      <c r="S244" s="7" t="s">
        <v>1168</v>
      </c>
      <c r="T244" s="5">
        <v>0.125</v>
      </c>
      <c r="U244" s="4" t="s">
        <v>1128</v>
      </c>
      <c r="V244" s="7" t="s">
        <v>1156</v>
      </c>
      <c r="X244" s="7" t="str">
        <f>_xlfn.XLOOKUP(H244, Sheet3!$E:$E, Sheet3!$B:$B, "")</f>
        <v>초등</v>
      </c>
      <c r="Y244" s="7" t="str">
        <f>_xlfn.XLOOKUP(H244, Sheet3!$E:$E, Sheet3!$C:$C, "")</f>
        <v>수학 3-1</v>
      </c>
      <c r="Z244" s="7" t="str">
        <f>_xlfn.XLOOKUP(H244, Sheet3!$E:$E, Sheet3!$D:$D, "")</f>
        <v>박만구</v>
      </c>
    </row>
    <row r="245" spans="1:26" x14ac:dyDescent="0.25">
      <c r="A245" t="s">
        <v>926</v>
      </c>
      <c r="B245" t="s">
        <v>31</v>
      </c>
      <c r="C245" t="s">
        <v>18</v>
      </c>
      <c r="D245" t="s">
        <v>929</v>
      </c>
      <c r="E245" t="s">
        <v>201</v>
      </c>
      <c r="F245" t="s">
        <v>35</v>
      </c>
      <c r="G245" t="s">
        <v>223</v>
      </c>
      <c r="J245" t="s">
        <v>220</v>
      </c>
      <c r="K245" t="s">
        <v>149</v>
      </c>
      <c r="L245" t="s">
        <v>280</v>
      </c>
      <c r="M245" t="s">
        <v>27</v>
      </c>
      <c r="N245" t="s">
        <v>74</v>
      </c>
      <c r="O245" t="s">
        <v>29</v>
      </c>
      <c r="P245" t="s">
        <v>89</v>
      </c>
      <c r="X245" s="7" t="str">
        <f>_xlfn.XLOOKUP(H245, Sheet3!$E:$E, Sheet3!$B:$B, "")</f>
        <v/>
      </c>
      <c r="Y245" s="7" t="str">
        <f>_xlfn.XLOOKUP(H245, Sheet3!$E:$E, Sheet3!$C:$C, "")</f>
        <v/>
      </c>
      <c r="Z245" s="7" t="str">
        <f>_xlfn.XLOOKUP(H245, Sheet3!$E:$E, Sheet3!$D:$D, "")</f>
        <v/>
      </c>
    </row>
    <row r="246" spans="1:26" x14ac:dyDescent="0.25">
      <c r="A246" t="s">
        <v>930</v>
      </c>
      <c r="B246" t="s">
        <v>17</v>
      </c>
      <c r="C246" t="s">
        <v>18</v>
      </c>
      <c r="D246" t="s">
        <v>931</v>
      </c>
      <c r="E246" t="s">
        <v>201</v>
      </c>
      <c r="F246" t="s">
        <v>35</v>
      </c>
      <c r="G246" t="s">
        <v>341</v>
      </c>
      <c r="H246" t="s">
        <v>932</v>
      </c>
      <c r="J246" t="s">
        <v>874</v>
      </c>
      <c r="K246" t="s">
        <v>149</v>
      </c>
      <c r="L246" t="s">
        <v>212</v>
      </c>
      <c r="M246" t="s">
        <v>27</v>
      </c>
      <c r="N246" t="s">
        <v>74</v>
      </c>
      <c r="O246" t="s">
        <v>29</v>
      </c>
      <c r="P246" t="s">
        <v>89</v>
      </c>
      <c r="Q246" s="7" t="s">
        <v>1088</v>
      </c>
      <c r="R246" s="7" t="s">
        <v>1125</v>
      </c>
      <c r="S246" s="7" t="s">
        <v>1138</v>
      </c>
      <c r="T246" s="5">
        <v>0.125</v>
      </c>
      <c r="U246" s="4" t="s">
        <v>1128</v>
      </c>
      <c r="V246" s="7" t="s">
        <v>1127</v>
      </c>
      <c r="X246" s="7" t="str">
        <f>_xlfn.XLOOKUP(H246, Sheet3!$E:$E, Sheet3!$B:$B, "")</f>
        <v>고등</v>
      </c>
      <c r="Y246" s="7" t="str">
        <f>_xlfn.XLOOKUP(H246, Sheet3!$E:$E, Sheet3!$C:$C, "")</f>
        <v>공통영어 1</v>
      </c>
      <c r="Z246" s="7" t="str">
        <f>_xlfn.XLOOKUP(H246, Sheet3!$E:$E, Sheet3!$D:$D, "")</f>
        <v>조수경</v>
      </c>
    </row>
    <row r="247" spans="1:26" x14ac:dyDescent="0.25">
      <c r="A247" t="s">
        <v>930</v>
      </c>
      <c r="B247" t="s">
        <v>31</v>
      </c>
      <c r="C247" t="s">
        <v>18</v>
      </c>
      <c r="D247" t="s">
        <v>933</v>
      </c>
      <c r="E247" t="s">
        <v>201</v>
      </c>
      <c r="F247" t="s">
        <v>35</v>
      </c>
      <c r="G247" t="s">
        <v>341</v>
      </c>
      <c r="J247" t="s">
        <v>934</v>
      </c>
      <c r="K247" t="s">
        <v>149</v>
      </c>
      <c r="L247" t="s">
        <v>214</v>
      </c>
      <c r="M247" t="s">
        <v>27</v>
      </c>
      <c r="N247" t="s">
        <v>74</v>
      </c>
      <c r="O247" t="s">
        <v>29</v>
      </c>
      <c r="P247" t="s">
        <v>89</v>
      </c>
      <c r="X247" s="7" t="str">
        <f>_xlfn.XLOOKUP(H247, Sheet3!$E:$E, Sheet3!$B:$B, "")</f>
        <v/>
      </c>
      <c r="Y247" s="7" t="str">
        <f>_xlfn.XLOOKUP(H247, Sheet3!$E:$E, Sheet3!$C:$C, "")</f>
        <v/>
      </c>
      <c r="Z247" s="7" t="str">
        <f>_xlfn.XLOOKUP(H247, Sheet3!$E:$E, Sheet3!$D:$D, "")</f>
        <v/>
      </c>
    </row>
    <row r="248" spans="1:26" x14ac:dyDescent="0.25">
      <c r="A248" t="s">
        <v>935</v>
      </c>
      <c r="B248" t="s">
        <v>17</v>
      </c>
      <c r="C248" t="s">
        <v>18</v>
      </c>
      <c r="D248" t="s">
        <v>936</v>
      </c>
      <c r="E248" t="s">
        <v>201</v>
      </c>
      <c r="F248" t="s">
        <v>35</v>
      </c>
      <c r="G248" t="s">
        <v>285</v>
      </c>
      <c r="H248" t="s">
        <v>937</v>
      </c>
      <c r="J248" t="s">
        <v>888</v>
      </c>
      <c r="K248" t="s">
        <v>149</v>
      </c>
      <c r="L248" t="s">
        <v>122</v>
      </c>
      <c r="M248" t="s">
        <v>27</v>
      </c>
      <c r="N248" t="s">
        <v>74</v>
      </c>
      <c r="O248" t="s">
        <v>29</v>
      </c>
      <c r="P248" t="s">
        <v>89</v>
      </c>
      <c r="Q248" t="s">
        <v>1100</v>
      </c>
      <c r="R248" s="7" t="s">
        <v>1154</v>
      </c>
      <c r="S248" s="7" t="s">
        <v>1166</v>
      </c>
      <c r="T248" s="5">
        <v>0.125</v>
      </c>
      <c r="U248" s="4" t="s">
        <v>1128</v>
      </c>
      <c r="V248" s="7" t="s">
        <v>1156</v>
      </c>
      <c r="X248" s="7" t="str">
        <f>_xlfn.XLOOKUP(H248, Sheet3!$E:$E, Sheet3!$B:$B, "")</f>
        <v>고등</v>
      </c>
      <c r="Y248" s="7" t="str">
        <f>_xlfn.XLOOKUP(H248, Sheet3!$E:$E, Sheet3!$C:$C, "")</f>
        <v>공통영어 1</v>
      </c>
      <c r="Z248" s="7" t="str">
        <f>_xlfn.XLOOKUP(H248, Sheet3!$E:$E, Sheet3!$D:$D, "")</f>
        <v>조수경</v>
      </c>
    </row>
    <row r="249" spans="1:26" x14ac:dyDescent="0.25">
      <c r="A249" t="s">
        <v>935</v>
      </c>
      <c r="B249" t="s">
        <v>31</v>
      </c>
      <c r="C249" t="s">
        <v>18</v>
      </c>
      <c r="D249" t="s">
        <v>938</v>
      </c>
      <c r="E249" t="s">
        <v>201</v>
      </c>
      <c r="F249" t="s">
        <v>35</v>
      </c>
      <c r="G249" t="s">
        <v>285</v>
      </c>
      <c r="J249" t="s">
        <v>939</v>
      </c>
      <c r="K249" t="s">
        <v>149</v>
      </c>
      <c r="L249" t="s">
        <v>122</v>
      </c>
      <c r="M249" t="s">
        <v>27</v>
      </c>
      <c r="N249" t="s">
        <v>74</v>
      </c>
      <c r="O249" t="s">
        <v>29</v>
      </c>
      <c r="P249" t="s">
        <v>89</v>
      </c>
      <c r="X249" s="7" t="str">
        <f>_xlfn.XLOOKUP(H249, Sheet3!$E:$E, Sheet3!$B:$B, "")</f>
        <v/>
      </c>
      <c r="Y249" s="7" t="str">
        <f>_xlfn.XLOOKUP(H249, Sheet3!$E:$E, Sheet3!$C:$C, "")</f>
        <v/>
      </c>
      <c r="Z249" s="7" t="str">
        <f>_xlfn.XLOOKUP(H249, Sheet3!$E:$E, Sheet3!$D:$D, "")</f>
        <v/>
      </c>
    </row>
    <row r="250" spans="1:26" x14ac:dyDescent="0.25">
      <c r="A250" t="s">
        <v>940</v>
      </c>
      <c r="B250" t="s">
        <v>17</v>
      </c>
      <c r="C250" t="s">
        <v>18</v>
      </c>
      <c r="D250" t="s">
        <v>941</v>
      </c>
      <c r="E250" t="s">
        <v>201</v>
      </c>
      <c r="F250" t="s">
        <v>35</v>
      </c>
      <c r="G250" t="s">
        <v>346</v>
      </c>
      <c r="H250" t="s">
        <v>942</v>
      </c>
      <c r="J250" t="s">
        <v>943</v>
      </c>
      <c r="K250" t="s">
        <v>149</v>
      </c>
      <c r="L250" t="s">
        <v>212</v>
      </c>
      <c r="M250" t="s">
        <v>27</v>
      </c>
      <c r="N250" t="s">
        <v>74</v>
      </c>
      <c r="O250" t="s">
        <v>29</v>
      </c>
      <c r="P250" t="s">
        <v>89</v>
      </c>
      <c r="Q250" s="7" t="s">
        <v>1088</v>
      </c>
      <c r="R250" s="7" t="s">
        <v>1125</v>
      </c>
      <c r="S250" s="7" t="s">
        <v>1136</v>
      </c>
      <c r="T250" s="5">
        <v>0.125</v>
      </c>
      <c r="U250" s="4" t="s">
        <v>1128</v>
      </c>
      <c r="V250" s="7" t="s">
        <v>1127</v>
      </c>
      <c r="X250" s="7" t="str">
        <f>_xlfn.XLOOKUP(H250, Sheet3!$E:$E, Sheet3!$B:$B, "")</f>
        <v>고등</v>
      </c>
      <c r="Y250" s="7" t="str">
        <f>_xlfn.XLOOKUP(H250, Sheet3!$E:$E, Sheet3!$C:$C, "")</f>
        <v>공통영어 1</v>
      </c>
      <c r="Z250" s="7" t="str">
        <f>_xlfn.XLOOKUP(H250, Sheet3!$E:$E, Sheet3!$D:$D, "")</f>
        <v>강상구</v>
      </c>
    </row>
    <row r="251" spans="1:26" x14ac:dyDescent="0.25">
      <c r="A251" t="s">
        <v>940</v>
      </c>
      <c r="B251" t="s">
        <v>31</v>
      </c>
      <c r="C251" t="s">
        <v>18</v>
      </c>
      <c r="D251" t="s">
        <v>944</v>
      </c>
      <c r="E251" t="s">
        <v>201</v>
      </c>
      <c r="F251" t="s">
        <v>35</v>
      </c>
      <c r="G251" t="s">
        <v>346</v>
      </c>
      <c r="J251" t="s">
        <v>945</v>
      </c>
      <c r="K251" t="s">
        <v>149</v>
      </c>
      <c r="L251" t="s">
        <v>214</v>
      </c>
      <c r="M251" t="s">
        <v>27</v>
      </c>
      <c r="N251" t="s">
        <v>74</v>
      </c>
      <c r="O251" t="s">
        <v>29</v>
      </c>
      <c r="P251" t="s">
        <v>89</v>
      </c>
      <c r="X251" s="7" t="str">
        <f>_xlfn.XLOOKUP(H251, Sheet3!$E:$E, Sheet3!$B:$B, "")</f>
        <v/>
      </c>
      <c r="Y251" s="7" t="str">
        <f>_xlfn.XLOOKUP(H251, Sheet3!$E:$E, Sheet3!$C:$C, "")</f>
        <v/>
      </c>
      <c r="Z251" s="7" t="str">
        <f>_xlfn.XLOOKUP(H251, Sheet3!$E:$E, Sheet3!$D:$D, "")</f>
        <v/>
      </c>
    </row>
    <row r="252" spans="1:26" x14ac:dyDescent="0.25">
      <c r="A252" t="s">
        <v>946</v>
      </c>
      <c r="B252" t="s">
        <v>17</v>
      </c>
      <c r="C252" t="s">
        <v>18</v>
      </c>
      <c r="D252" t="s">
        <v>947</v>
      </c>
      <c r="E252" t="s">
        <v>201</v>
      </c>
      <c r="F252" t="s">
        <v>35</v>
      </c>
      <c r="G252" t="s">
        <v>292</v>
      </c>
      <c r="H252" t="s">
        <v>948</v>
      </c>
      <c r="J252" t="s">
        <v>220</v>
      </c>
      <c r="K252" t="s">
        <v>149</v>
      </c>
      <c r="L252" t="s">
        <v>122</v>
      </c>
      <c r="M252" t="s">
        <v>27</v>
      </c>
      <c r="N252" t="s">
        <v>74</v>
      </c>
      <c r="O252" t="s">
        <v>29</v>
      </c>
      <c r="P252" t="s">
        <v>89</v>
      </c>
      <c r="Q252" t="s">
        <v>1100</v>
      </c>
      <c r="R252" s="7" t="s">
        <v>1154</v>
      </c>
      <c r="S252" s="7" t="s">
        <v>1164</v>
      </c>
      <c r="T252" s="5">
        <v>0.125</v>
      </c>
      <c r="U252" s="4" t="s">
        <v>1128</v>
      </c>
      <c r="V252" s="7" t="s">
        <v>1156</v>
      </c>
      <c r="X252" s="7" t="str">
        <f>_xlfn.XLOOKUP(H252, Sheet3!$E:$E, Sheet3!$B:$B, "")</f>
        <v>고등</v>
      </c>
      <c r="Y252" s="7" t="str">
        <f>_xlfn.XLOOKUP(H252, Sheet3!$E:$E, Sheet3!$C:$C, "")</f>
        <v>공통영어 1</v>
      </c>
      <c r="Z252" s="7" t="str">
        <f>_xlfn.XLOOKUP(H252, Sheet3!$E:$E, Sheet3!$D:$D, "")</f>
        <v>강상구</v>
      </c>
    </row>
    <row r="253" spans="1:26" x14ac:dyDescent="0.25">
      <c r="A253" t="s">
        <v>946</v>
      </c>
      <c r="B253" t="s">
        <v>31</v>
      </c>
      <c r="C253" t="s">
        <v>18</v>
      </c>
      <c r="D253" t="s">
        <v>949</v>
      </c>
      <c r="E253" t="s">
        <v>201</v>
      </c>
      <c r="F253" t="s">
        <v>35</v>
      </c>
      <c r="G253" t="s">
        <v>292</v>
      </c>
      <c r="J253" t="s">
        <v>939</v>
      </c>
      <c r="K253" t="s">
        <v>149</v>
      </c>
      <c r="L253" t="s">
        <v>122</v>
      </c>
      <c r="M253" t="s">
        <v>27</v>
      </c>
      <c r="N253" t="s">
        <v>74</v>
      </c>
      <c r="O253" t="s">
        <v>29</v>
      </c>
      <c r="P253" t="s">
        <v>89</v>
      </c>
      <c r="X253" s="7" t="str">
        <f>_xlfn.XLOOKUP(H253, Sheet3!$E:$E, Sheet3!$B:$B, "")</f>
        <v/>
      </c>
      <c r="Y253" s="7" t="str">
        <f>_xlfn.XLOOKUP(H253, Sheet3!$E:$E, Sheet3!$C:$C, "")</f>
        <v/>
      </c>
      <c r="Z253" s="7" t="str">
        <f>_xlfn.XLOOKUP(H253, Sheet3!$E:$E, Sheet3!$D:$D, "")</f>
        <v/>
      </c>
    </row>
    <row r="254" spans="1:26" x14ac:dyDescent="0.25">
      <c r="A254" t="s">
        <v>950</v>
      </c>
      <c r="B254" t="s">
        <v>17</v>
      </c>
      <c r="C254" t="s">
        <v>18</v>
      </c>
      <c r="D254" t="s">
        <v>951</v>
      </c>
      <c r="E254" t="s">
        <v>201</v>
      </c>
      <c r="F254" t="s">
        <v>35</v>
      </c>
      <c r="G254" t="s">
        <v>952</v>
      </c>
      <c r="H254" t="s">
        <v>953</v>
      </c>
      <c r="J254" t="s">
        <v>954</v>
      </c>
      <c r="K254" t="s">
        <v>149</v>
      </c>
      <c r="L254" t="s">
        <v>81</v>
      </c>
      <c r="M254" t="s">
        <v>27</v>
      </c>
      <c r="N254" t="s">
        <v>74</v>
      </c>
      <c r="O254" t="s">
        <v>29</v>
      </c>
      <c r="P254" t="s">
        <v>89</v>
      </c>
      <c r="Q254" s="7" t="s">
        <v>1088</v>
      </c>
      <c r="R254" s="7" t="s">
        <v>1125</v>
      </c>
      <c r="S254" s="7" t="s">
        <v>1135</v>
      </c>
      <c r="T254" s="5">
        <v>0.125</v>
      </c>
      <c r="U254" s="4" t="s">
        <v>1128</v>
      </c>
      <c r="V254" s="7" t="s">
        <v>1127</v>
      </c>
      <c r="X254" s="7" t="str">
        <f>_xlfn.XLOOKUP(H254, Sheet3!$E:$E, Sheet3!$B:$B, "")</f>
        <v>중학</v>
      </c>
      <c r="Y254" s="7" t="str">
        <f>_xlfn.XLOOKUP(H254, Sheet3!$E:$E, Sheet3!$C:$C, "")</f>
        <v>영어 </v>
      </c>
      <c r="Z254" s="7" t="str">
        <f>_xlfn.XLOOKUP(H254, Sheet3!$E:$E, Sheet3!$D:$D, "")</f>
        <v>소영순</v>
      </c>
    </row>
    <row r="255" spans="1:26" x14ac:dyDescent="0.25">
      <c r="A255" t="s">
        <v>950</v>
      </c>
      <c r="B255" t="s">
        <v>31</v>
      </c>
      <c r="C255" t="s">
        <v>18</v>
      </c>
      <c r="D255" t="s">
        <v>955</v>
      </c>
      <c r="E255" t="s">
        <v>201</v>
      </c>
      <c r="F255" t="s">
        <v>35</v>
      </c>
      <c r="G255" t="s">
        <v>952</v>
      </c>
      <c r="J255" t="s">
        <v>945</v>
      </c>
      <c r="K255" t="s">
        <v>149</v>
      </c>
      <c r="L255" t="s">
        <v>280</v>
      </c>
      <c r="M255" t="s">
        <v>27</v>
      </c>
      <c r="N255" t="s">
        <v>74</v>
      </c>
      <c r="O255" t="s">
        <v>29</v>
      </c>
      <c r="P255" t="s">
        <v>89</v>
      </c>
      <c r="X255" s="7" t="str">
        <f>_xlfn.XLOOKUP(H255, Sheet3!$E:$E, Sheet3!$B:$B, "")</f>
        <v/>
      </c>
      <c r="Y255" s="7" t="str">
        <f>_xlfn.XLOOKUP(H255, Sheet3!$E:$E, Sheet3!$C:$C, "")</f>
        <v/>
      </c>
      <c r="Z255" s="7" t="str">
        <f>_xlfn.XLOOKUP(H255, Sheet3!$E:$E, Sheet3!$D:$D, "")</f>
        <v/>
      </c>
    </row>
    <row r="256" spans="1:26" x14ac:dyDescent="0.25">
      <c r="A256" t="s">
        <v>956</v>
      </c>
      <c r="B256" t="s">
        <v>17</v>
      </c>
      <c r="C256" t="s">
        <v>18</v>
      </c>
      <c r="D256" t="s">
        <v>957</v>
      </c>
      <c r="E256" t="s">
        <v>201</v>
      </c>
      <c r="F256" t="s">
        <v>35</v>
      </c>
      <c r="G256" t="s">
        <v>958</v>
      </c>
      <c r="H256" t="s">
        <v>959</v>
      </c>
      <c r="J256" t="s">
        <v>361</v>
      </c>
      <c r="K256" t="s">
        <v>149</v>
      </c>
      <c r="L256" t="s">
        <v>122</v>
      </c>
      <c r="M256" t="s">
        <v>27</v>
      </c>
      <c r="N256" t="s">
        <v>74</v>
      </c>
      <c r="O256" t="s">
        <v>29</v>
      </c>
      <c r="P256" t="s">
        <v>89</v>
      </c>
      <c r="Q256" t="s">
        <v>1100</v>
      </c>
      <c r="R256" s="7" t="s">
        <v>1154</v>
      </c>
      <c r="S256" s="7" t="s">
        <v>1163</v>
      </c>
      <c r="T256" s="5">
        <v>0.125</v>
      </c>
      <c r="U256" s="4" t="s">
        <v>1128</v>
      </c>
      <c r="V256" s="7" t="s">
        <v>1156</v>
      </c>
      <c r="X256" s="7" t="str">
        <f>_xlfn.XLOOKUP(H256, Sheet3!$E:$E, Sheet3!$B:$B, "")</f>
        <v>중학</v>
      </c>
      <c r="Y256" s="7" t="str">
        <f>_xlfn.XLOOKUP(H256, Sheet3!$E:$E, Sheet3!$C:$C, "")</f>
        <v>영어 </v>
      </c>
      <c r="Z256" s="7" t="str">
        <f>_xlfn.XLOOKUP(H256, Sheet3!$E:$E, Sheet3!$D:$D, "")</f>
        <v>소영순</v>
      </c>
    </row>
    <row r="257" spans="1:26" x14ac:dyDescent="0.25">
      <c r="A257" t="s">
        <v>956</v>
      </c>
      <c r="B257" t="s">
        <v>31</v>
      </c>
      <c r="C257" t="s">
        <v>18</v>
      </c>
      <c r="D257" t="s">
        <v>960</v>
      </c>
      <c r="E257" t="s">
        <v>201</v>
      </c>
      <c r="F257" t="s">
        <v>35</v>
      </c>
      <c r="G257" t="s">
        <v>958</v>
      </c>
      <c r="J257" t="s">
        <v>365</v>
      </c>
      <c r="K257" t="s">
        <v>149</v>
      </c>
      <c r="L257" t="s">
        <v>122</v>
      </c>
      <c r="M257" t="s">
        <v>27</v>
      </c>
      <c r="N257" t="s">
        <v>74</v>
      </c>
      <c r="O257" t="s">
        <v>29</v>
      </c>
      <c r="P257" t="s">
        <v>89</v>
      </c>
      <c r="X257" s="7" t="str">
        <f>_xlfn.XLOOKUP(H257, Sheet3!$E:$E, Sheet3!$B:$B, "")</f>
        <v/>
      </c>
      <c r="Y257" s="7" t="str">
        <f>_xlfn.XLOOKUP(H257, Sheet3!$E:$E, Sheet3!$C:$C, "")</f>
        <v/>
      </c>
      <c r="Z257" s="7" t="str">
        <f>_xlfn.XLOOKUP(H257, Sheet3!$E:$E, Sheet3!$D:$D, "")</f>
        <v/>
      </c>
    </row>
    <row r="258" spans="1:26" x14ac:dyDescent="0.25">
      <c r="A258" t="s">
        <v>961</v>
      </c>
      <c r="B258" t="s">
        <v>17</v>
      </c>
      <c r="C258" t="s">
        <v>18</v>
      </c>
      <c r="D258" t="s">
        <v>962</v>
      </c>
      <c r="E258" t="s">
        <v>201</v>
      </c>
      <c r="F258" t="s">
        <v>35</v>
      </c>
      <c r="G258" t="s">
        <v>963</v>
      </c>
      <c r="H258" t="s">
        <v>964</v>
      </c>
      <c r="J258" t="s">
        <v>939</v>
      </c>
      <c r="K258" t="s">
        <v>149</v>
      </c>
      <c r="L258" t="s">
        <v>280</v>
      </c>
      <c r="M258" t="s">
        <v>27</v>
      </c>
      <c r="N258" t="s">
        <v>74</v>
      </c>
      <c r="O258" t="s">
        <v>29</v>
      </c>
      <c r="P258" t="s">
        <v>89</v>
      </c>
      <c r="Q258" s="7" t="s">
        <v>1088</v>
      </c>
      <c r="R258" s="7" t="s">
        <v>1125</v>
      </c>
      <c r="S258" s="7" t="s">
        <v>1134</v>
      </c>
      <c r="T258" s="5">
        <v>0.125</v>
      </c>
      <c r="U258" s="4" t="s">
        <v>1128</v>
      </c>
      <c r="V258" s="7" t="s">
        <v>1127</v>
      </c>
      <c r="X258" s="7" t="str">
        <f>_xlfn.XLOOKUP(H258, Sheet3!$E:$E, Sheet3!$B:$B, "")</f>
        <v>중학</v>
      </c>
      <c r="Y258" s="7" t="str">
        <f>_xlfn.XLOOKUP(H258, Sheet3!$E:$E, Sheet3!$C:$C, "")</f>
        <v>영어</v>
      </c>
      <c r="Z258" s="7" t="str">
        <f>_xlfn.XLOOKUP(H258, Sheet3!$E:$E, Sheet3!$D:$D, "")</f>
        <v>이상기</v>
      </c>
    </row>
    <row r="259" spans="1:26" x14ac:dyDescent="0.25">
      <c r="A259" t="s">
        <v>961</v>
      </c>
      <c r="B259" t="s">
        <v>31</v>
      </c>
      <c r="C259" t="s">
        <v>18</v>
      </c>
      <c r="D259" t="s">
        <v>965</v>
      </c>
      <c r="E259" t="s">
        <v>201</v>
      </c>
      <c r="F259" t="s">
        <v>35</v>
      </c>
      <c r="G259" t="s">
        <v>963</v>
      </c>
      <c r="J259" t="s">
        <v>220</v>
      </c>
      <c r="K259" t="s">
        <v>149</v>
      </c>
      <c r="L259" t="s">
        <v>299</v>
      </c>
      <c r="M259" t="s">
        <v>27</v>
      </c>
      <c r="N259" t="s">
        <v>74</v>
      </c>
      <c r="O259" t="s">
        <v>29</v>
      </c>
      <c r="P259" t="s">
        <v>89</v>
      </c>
      <c r="X259" s="7" t="str">
        <f>_xlfn.XLOOKUP(H259, Sheet3!$E:$E, Sheet3!$B:$B, "")</f>
        <v/>
      </c>
      <c r="Y259" s="7" t="str">
        <f>_xlfn.XLOOKUP(H259, Sheet3!$E:$E, Sheet3!$C:$C, "")</f>
        <v/>
      </c>
      <c r="Z259" s="7" t="str">
        <f>_xlfn.XLOOKUP(H259, Sheet3!$E:$E, Sheet3!$D:$D, "")</f>
        <v/>
      </c>
    </row>
    <row r="260" spans="1:26" x14ac:dyDescent="0.25">
      <c r="A260" t="s">
        <v>966</v>
      </c>
      <c r="B260" t="s">
        <v>17</v>
      </c>
      <c r="C260" t="s">
        <v>18</v>
      </c>
      <c r="D260" t="s">
        <v>967</v>
      </c>
      <c r="E260" t="s">
        <v>201</v>
      </c>
      <c r="F260" t="s">
        <v>35</v>
      </c>
      <c r="G260" t="s">
        <v>71</v>
      </c>
      <c r="H260" t="s">
        <v>968</v>
      </c>
      <c r="J260" t="s">
        <v>329</v>
      </c>
      <c r="K260" t="s">
        <v>149</v>
      </c>
      <c r="L260" t="s">
        <v>122</v>
      </c>
      <c r="M260" t="s">
        <v>27</v>
      </c>
      <c r="N260" t="s">
        <v>74</v>
      </c>
      <c r="O260" t="s">
        <v>29</v>
      </c>
      <c r="P260" t="s">
        <v>89</v>
      </c>
      <c r="Q260" t="s">
        <v>1100</v>
      </c>
      <c r="R260" s="7" t="s">
        <v>1154</v>
      </c>
      <c r="S260" s="7" t="s">
        <v>1155</v>
      </c>
      <c r="T260" s="5">
        <v>0.125</v>
      </c>
      <c r="U260" s="4" t="s">
        <v>1128</v>
      </c>
      <c r="V260" s="7" t="s">
        <v>1156</v>
      </c>
      <c r="X260" s="7" t="str">
        <f>_xlfn.XLOOKUP(H260, Sheet3!$E:$E, Sheet3!$B:$B, "")</f>
        <v>초등</v>
      </c>
      <c r="Y260" s="7" t="str">
        <f>_xlfn.XLOOKUP(H260, Sheet3!$E:$E, Sheet3!$C:$C, "")</f>
        <v>영어 3</v>
      </c>
      <c r="Z260" s="7" t="str">
        <f>_xlfn.XLOOKUP(H260, Sheet3!$E:$E, Sheet3!$D:$D, "")</f>
        <v>이동환</v>
      </c>
    </row>
    <row r="261" spans="1:26" x14ac:dyDescent="0.25">
      <c r="A261" t="s">
        <v>966</v>
      </c>
      <c r="B261" t="s">
        <v>31</v>
      </c>
      <c r="C261" t="s">
        <v>18</v>
      </c>
      <c r="D261" t="s">
        <v>969</v>
      </c>
      <c r="E261" t="s">
        <v>201</v>
      </c>
      <c r="F261" t="s">
        <v>35</v>
      </c>
      <c r="G261" t="s">
        <v>71</v>
      </c>
      <c r="J261" t="s">
        <v>282</v>
      </c>
      <c r="K261" t="s">
        <v>149</v>
      </c>
      <c r="L261" t="s">
        <v>122</v>
      </c>
      <c r="M261" t="s">
        <v>27</v>
      </c>
      <c r="N261" t="s">
        <v>74</v>
      </c>
      <c r="O261" t="s">
        <v>29</v>
      </c>
      <c r="P261" t="s">
        <v>89</v>
      </c>
      <c r="X261" s="7" t="str">
        <f>_xlfn.XLOOKUP(H261, Sheet3!$E:$E, Sheet3!$B:$B, "")</f>
        <v/>
      </c>
      <c r="Y261" s="7" t="str">
        <f>_xlfn.XLOOKUP(H261, Sheet3!$E:$E, Sheet3!$C:$C, "")</f>
        <v/>
      </c>
      <c r="Z261" s="7" t="str">
        <f>_xlfn.XLOOKUP(H261, Sheet3!$E:$E, Sheet3!$D:$D, "")</f>
        <v/>
      </c>
    </row>
    <row r="262" spans="1:26" x14ac:dyDescent="0.25">
      <c r="A262" t="s">
        <v>970</v>
      </c>
      <c r="B262" t="s">
        <v>17</v>
      </c>
      <c r="C262" t="s">
        <v>18</v>
      </c>
      <c r="D262" t="s">
        <v>971</v>
      </c>
      <c r="E262" t="s">
        <v>201</v>
      </c>
      <c r="F262" t="s">
        <v>35</v>
      </c>
      <c r="G262" t="s">
        <v>972</v>
      </c>
      <c r="H262" t="s">
        <v>973</v>
      </c>
      <c r="J262" t="s">
        <v>954</v>
      </c>
      <c r="K262" t="s">
        <v>149</v>
      </c>
      <c r="L262" t="s">
        <v>122</v>
      </c>
      <c r="M262" t="s">
        <v>27</v>
      </c>
      <c r="N262" t="s">
        <v>74</v>
      </c>
      <c r="O262" t="s">
        <v>29</v>
      </c>
      <c r="P262" t="s">
        <v>89</v>
      </c>
      <c r="Q262" t="s">
        <v>1100</v>
      </c>
      <c r="R262" s="7" t="s">
        <v>1154</v>
      </c>
      <c r="S262" s="7" t="s">
        <v>1162</v>
      </c>
      <c r="T262" s="5">
        <v>0.125</v>
      </c>
      <c r="U262" s="4" t="s">
        <v>1128</v>
      </c>
      <c r="V262" s="7" t="s">
        <v>1156</v>
      </c>
      <c r="X262" s="7" t="str">
        <f>_xlfn.XLOOKUP(H262, Sheet3!$E:$E, Sheet3!$B:$B, "")</f>
        <v>중학</v>
      </c>
      <c r="Y262" s="7" t="str">
        <f>_xlfn.XLOOKUP(H262, Sheet3!$E:$E, Sheet3!$C:$C, "")</f>
        <v>영어</v>
      </c>
      <c r="Z262" s="7" t="str">
        <f>_xlfn.XLOOKUP(H262, Sheet3!$E:$E, Sheet3!$D:$D, "")</f>
        <v>이상기</v>
      </c>
    </row>
    <row r="263" spans="1:26" x14ac:dyDescent="0.25">
      <c r="A263" t="s">
        <v>970</v>
      </c>
      <c r="B263" t="s">
        <v>31</v>
      </c>
      <c r="C263" t="s">
        <v>18</v>
      </c>
      <c r="D263" t="s">
        <v>974</v>
      </c>
      <c r="E263" t="s">
        <v>201</v>
      </c>
      <c r="F263" t="s">
        <v>35</v>
      </c>
      <c r="G263" t="s">
        <v>972</v>
      </c>
      <c r="J263" t="s">
        <v>945</v>
      </c>
      <c r="K263" t="s">
        <v>149</v>
      </c>
      <c r="L263" t="s">
        <v>122</v>
      </c>
      <c r="M263" t="s">
        <v>27</v>
      </c>
      <c r="N263" t="s">
        <v>74</v>
      </c>
      <c r="O263" t="s">
        <v>29</v>
      </c>
      <c r="P263" t="s">
        <v>89</v>
      </c>
      <c r="X263" s="7" t="str">
        <f>_xlfn.XLOOKUP(H263, Sheet3!$E:$E, Sheet3!$B:$B, "")</f>
        <v/>
      </c>
      <c r="Y263" s="7" t="str">
        <f>_xlfn.XLOOKUP(H263, Sheet3!$E:$E, Sheet3!$C:$C, "")</f>
        <v/>
      </c>
      <c r="Z263" s="7" t="str">
        <f>_xlfn.XLOOKUP(H263, Sheet3!$E:$E, Sheet3!$D:$D, "")</f>
        <v/>
      </c>
    </row>
    <row r="264" spans="1:26" x14ac:dyDescent="0.25">
      <c r="A264" t="s">
        <v>975</v>
      </c>
      <c r="B264" t="s">
        <v>17</v>
      </c>
      <c r="C264" t="s">
        <v>18</v>
      </c>
      <c r="D264" t="s">
        <v>976</v>
      </c>
      <c r="E264" t="s">
        <v>201</v>
      </c>
      <c r="F264" t="s">
        <v>35</v>
      </c>
      <c r="G264" t="s">
        <v>353</v>
      </c>
      <c r="H264" t="s">
        <v>977</v>
      </c>
      <c r="J264" t="s">
        <v>849</v>
      </c>
      <c r="K264" t="s">
        <v>149</v>
      </c>
      <c r="L264" t="s">
        <v>978</v>
      </c>
      <c r="M264" t="s">
        <v>27</v>
      </c>
      <c r="N264" t="s">
        <v>74</v>
      </c>
      <c r="O264" t="s">
        <v>29</v>
      </c>
      <c r="P264" t="s">
        <v>89</v>
      </c>
      <c r="Q264" s="7" t="s">
        <v>1088</v>
      </c>
      <c r="R264" s="7" t="s">
        <v>1125</v>
      </c>
      <c r="S264" s="7" t="s">
        <v>1132</v>
      </c>
      <c r="T264" s="5">
        <v>0.125</v>
      </c>
      <c r="U264" s="4" t="s">
        <v>1128</v>
      </c>
      <c r="V264" s="7" t="s">
        <v>1127</v>
      </c>
      <c r="X264" s="7" t="str">
        <f>_xlfn.XLOOKUP(H264, Sheet3!$E:$E, Sheet3!$B:$B, "")</f>
        <v>초등</v>
      </c>
      <c r="Y264" s="7" t="str">
        <f>_xlfn.XLOOKUP(H264, Sheet3!$E:$E, Sheet3!$C:$C, "")</f>
        <v>영어 3</v>
      </c>
      <c r="Z264" s="7" t="str">
        <f>_xlfn.XLOOKUP(H264, Sheet3!$E:$E, Sheet3!$D:$D, "")</f>
        <v>함순애</v>
      </c>
    </row>
    <row r="265" spans="1:26" x14ac:dyDescent="0.25">
      <c r="A265" t="s">
        <v>975</v>
      </c>
      <c r="B265" t="s">
        <v>31</v>
      </c>
      <c r="C265" t="s">
        <v>18</v>
      </c>
      <c r="D265" t="s">
        <v>979</v>
      </c>
      <c r="E265" t="s">
        <v>201</v>
      </c>
      <c r="F265" t="s">
        <v>35</v>
      </c>
      <c r="G265" t="s">
        <v>353</v>
      </c>
      <c r="J265" t="s">
        <v>851</v>
      </c>
      <c r="K265" t="s">
        <v>149</v>
      </c>
      <c r="L265" t="s">
        <v>205</v>
      </c>
      <c r="M265" t="s">
        <v>27</v>
      </c>
      <c r="N265" t="s">
        <v>74</v>
      </c>
      <c r="O265" t="s">
        <v>29</v>
      </c>
      <c r="P265" t="s">
        <v>89</v>
      </c>
      <c r="X265" s="7" t="str">
        <f>_xlfn.XLOOKUP(H265, Sheet3!$E:$E, Sheet3!$B:$B, "")</f>
        <v/>
      </c>
      <c r="Y265" s="7" t="str">
        <f>_xlfn.XLOOKUP(H265, Sheet3!$E:$E, Sheet3!$C:$C, "")</f>
        <v/>
      </c>
      <c r="Z265" s="7" t="str">
        <f>_xlfn.XLOOKUP(H265, Sheet3!$E:$E, Sheet3!$D:$D, "")</f>
        <v/>
      </c>
    </row>
    <row r="266" spans="1:26" x14ac:dyDescent="0.25">
      <c r="A266" t="s">
        <v>980</v>
      </c>
      <c r="B266" t="s">
        <v>17</v>
      </c>
      <c r="C266" t="s">
        <v>18</v>
      </c>
      <c r="D266" t="s">
        <v>981</v>
      </c>
      <c r="E266" t="s">
        <v>201</v>
      </c>
      <c r="F266" t="s">
        <v>35</v>
      </c>
      <c r="G266" t="s">
        <v>297</v>
      </c>
      <c r="H266" t="s">
        <v>982</v>
      </c>
      <c r="J266" t="s">
        <v>983</v>
      </c>
      <c r="K266" t="s">
        <v>149</v>
      </c>
      <c r="L266" t="s">
        <v>273</v>
      </c>
      <c r="M266" t="s">
        <v>27</v>
      </c>
      <c r="N266" t="s">
        <v>74</v>
      </c>
      <c r="O266" t="s">
        <v>29</v>
      </c>
      <c r="P266" t="s">
        <v>89</v>
      </c>
      <c r="Q266" t="s">
        <v>1100</v>
      </c>
      <c r="R266" s="7" t="s">
        <v>1154</v>
      </c>
      <c r="S266" s="7" t="s">
        <v>1160</v>
      </c>
      <c r="T266" s="5">
        <v>0.125</v>
      </c>
      <c r="U266" s="4" t="s">
        <v>1128</v>
      </c>
      <c r="V266" s="7" t="s">
        <v>1156</v>
      </c>
      <c r="X266" s="7" t="str">
        <f>_xlfn.XLOOKUP(H266, Sheet3!$E:$E, Sheet3!$B:$B, "")</f>
        <v>초등</v>
      </c>
      <c r="Y266" s="7" t="str">
        <f>_xlfn.XLOOKUP(H266, Sheet3!$E:$E, Sheet3!$C:$C, "")</f>
        <v>영어 3</v>
      </c>
      <c r="Z266" s="7" t="str">
        <f>_xlfn.XLOOKUP(H266, Sheet3!$E:$E, Sheet3!$D:$D, "")</f>
        <v>함순애</v>
      </c>
    </row>
    <row r="267" spans="1:26" x14ac:dyDescent="0.25">
      <c r="A267" t="s">
        <v>980</v>
      </c>
      <c r="B267" t="s">
        <v>31</v>
      </c>
      <c r="C267" t="s">
        <v>18</v>
      </c>
      <c r="D267" t="s">
        <v>984</v>
      </c>
      <c r="E267" t="s">
        <v>201</v>
      </c>
      <c r="F267" t="s">
        <v>35</v>
      </c>
      <c r="G267" t="s">
        <v>297</v>
      </c>
      <c r="J267" t="s">
        <v>985</v>
      </c>
      <c r="K267" t="s">
        <v>149</v>
      </c>
      <c r="L267" t="s">
        <v>226</v>
      </c>
      <c r="M267" t="s">
        <v>27</v>
      </c>
      <c r="N267" t="s">
        <v>74</v>
      </c>
      <c r="O267" t="s">
        <v>29</v>
      </c>
      <c r="P267" t="s">
        <v>89</v>
      </c>
      <c r="X267" s="7" t="str">
        <f>_xlfn.XLOOKUP(H267, Sheet3!$E:$E, Sheet3!$B:$B, "")</f>
        <v/>
      </c>
      <c r="Y267" s="7" t="str">
        <f>_xlfn.XLOOKUP(H267, Sheet3!$E:$E, Sheet3!$C:$C, "")</f>
        <v/>
      </c>
      <c r="Z267" s="7" t="str">
        <f>_xlfn.XLOOKUP(H267, Sheet3!$E:$E, Sheet3!$D:$D, "")</f>
        <v/>
      </c>
    </row>
    <row r="268" spans="1:26" x14ac:dyDescent="0.25">
      <c r="A268" t="s">
        <v>986</v>
      </c>
      <c r="B268" t="s">
        <v>17</v>
      </c>
      <c r="C268" t="s">
        <v>18</v>
      </c>
      <c r="D268" t="s">
        <v>987</v>
      </c>
      <c r="E268" t="s">
        <v>201</v>
      </c>
      <c r="F268" t="s">
        <v>35</v>
      </c>
      <c r="G268" t="s">
        <v>78</v>
      </c>
      <c r="H268" t="s">
        <v>988</v>
      </c>
      <c r="J268" t="s">
        <v>279</v>
      </c>
      <c r="K268" t="s">
        <v>149</v>
      </c>
      <c r="L268" t="s">
        <v>273</v>
      </c>
      <c r="M268" t="s">
        <v>27</v>
      </c>
      <c r="N268" t="s">
        <v>74</v>
      </c>
      <c r="O268" t="s">
        <v>29</v>
      </c>
      <c r="P268" t="s">
        <v>89</v>
      </c>
      <c r="Q268" s="7" t="s">
        <v>1088</v>
      </c>
      <c r="R268" s="7" t="s">
        <v>1125</v>
      </c>
      <c r="S268" s="7" t="s">
        <v>1126</v>
      </c>
      <c r="T268" s="5">
        <v>0.125</v>
      </c>
      <c r="U268" s="4" t="s">
        <v>1128</v>
      </c>
      <c r="V268" s="7" t="s">
        <v>1127</v>
      </c>
      <c r="X268" s="7" t="str">
        <f>_xlfn.XLOOKUP(H268, Sheet3!$E:$E, Sheet3!$B:$B, "")</f>
        <v>초등</v>
      </c>
      <c r="Y268" s="7" t="str">
        <f>_xlfn.XLOOKUP(H268, Sheet3!$E:$E, Sheet3!$C:$C, "")</f>
        <v>영어 3</v>
      </c>
      <c r="Z268" s="7" t="str">
        <f>_xlfn.XLOOKUP(H268, Sheet3!$E:$E, Sheet3!$D:$D, "")</f>
        <v>이동환</v>
      </c>
    </row>
    <row r="269" spans="1:26" x14ac:dyDescent="0.25">
      <c r="A269" t="s">
        <v>986</v>
      </c>
      <c r="B269" t="s">
        <v>31</v>
      </c>
      <c r="C269" t="s">
        <v>18</v>
      </c>
      <c r="D269" t="s">
        <v>989</v>
      </c>
      <c r="E269" t="s">
        <v>201</v>
      </c>
      <c r="F269" t="s">
        <v>35</v>
      </c>
      <c r="G269" t="s">
        <v>78</v>
      </c>
      <c r="J269" t="s">
        <v>282</v>
      </c>
      <c r="K269" t="s">
        <v>149</v>
      </c>
      <c r="L269" t="s">
        <v>226</v>
      </c>
      <c r="M269" t="s">
        <v>27</v>
      </c>
      <c r="N269" t="s">
        <v>74</v>
      </c>
      <c r="O269" t="s">
        <v>29</v>
      </c>
      <c r="P269" t="s">
        <v>89</v>
      </c>
      <c r="X269" s="7" t="str">
        <f>_xlfn.XLOOKUP(H269, Sheet3!$E:$E, Sheet3!$B:$B, "")</f>
        <v/>
      </c>
      <c r="Y269" s="7" t="str">
        <f>_xlfn.XLOOKUP(H269, Sheet3!$E:$E, Sheet3!$C:$C, "")</f>
        <v/>
      </c>
      <c r="Z269" s="7" t="str">
        <f>_xlfn.XLOOKUP(H269, Sheet3!$E:$E, Sheet3!$D:$D, "")</f>
        <v/>
      </c>
    </row>
    <row r="270" spans="1:26" x14ac:dyDescent="0.25">
      <c r="A270" t="s">
        <v>990</v>
      </c>
      <c r="B270" t="s">
        <v>17</v>
      </c>
      <c r="C270" t="s">
        <v>18</v>
      </c>
      <c r="D270" t="s">
        <v>991</v>
      </c>
      <c r="E270" t="s">
        <v>144</v>
      </c>
      <c r="F270" t="s">
        <v>35</v>
      </c>
      <c r="G270" t="s">
        <v>992</v>
      </c>
      <c r="H270" t="s">
        <v>993</v>
      </c>
      <c r="J270" t="s">
        <v>994</v>
      </c>
      <c r="K270" t="s">
        <v>149</v>
      </c>
      <c r="L270" t="s">
        <v>95</v>
      </c>
      <c r="M270" t="s">
        <v>27</v>
      </c>
      <c r="N270" t="s">
        <v>74</v>
      </c>
      <c r="O270" t="s">
        <v>29</v>
      </c>
      <c r="P270" t="s">
        <v>89</v>
      </c>
      <c r="X270" s="7" t="str">
        <f>_xlfn.XLOOKUP(H270, Sheet3!$E:$E, Sheet3!$B:$B, "")</f>
        <v/>
      </c>
      <c r="Y270" s="7" t="str">
        <f>_xlfn.XLOOKUP(H270, Sheet3!$E:$E, Sheet3!$C:$C, "")</f>
        <v/>
      </c>
      <c r="Z270" s="7" t="str">
        <f>_xlfn.XLOOKUP(H270, Sheet3!$E:$E, Sheet3!$D:$D, "")</f>
        <v/>
      </c>
    </row>
    <row r="271" spans="1:26" x14ac:dyDescent="0.25">
      <c r="A271" t="s">
        <v>990</v>
      </c>
      <c r="B271" t="s">
        <v>31</v>
      </c>
      <c r="C271" t="s">
        <v>18</v>
      </c>
      <c r="D271" t="s">
        <v>995</v>
      </c>
      <c r="E271" t="s">
        <v>144</v>
      </c>
      <c r="F271" t="s">
        <v>35</v>
      </c>
      <c r="G271" t="s">
        <v>992</v>
      </c>
      <c r="J271" t="s">
        <v>372</v>
      </c>
      <c r="K271" t="s">
        <v>149</v>
      </c>
      <c r="L271" t="s">
        <v>95</v>
      </c>
      <c r="M271" t="s">
        <v>27</v>
      </c>
      <c r="N271" t="s">
        <v>74</v>
      </c>
      <c r="O271" t="s">
        <v>29</v>
      </c>
      <c r="P271" t="s">
        <v>89</v>
      </c>
      <c r="X271" s="7" t="str">
        <f>_xlfn.XLOOKUP(H271, Sheet3!$E:$E, Sheet3!$B:$B, "")</f>
        <v/>
      </c>
      <c r="Y271" s="7" t="str">
        <f>_xlfn.XLOOKUP(H271, Sheet3!$E:$E, Sheet3!$C:$C, "")</f>
        <v/>
      </c>
      <c r="Z271" s="7" t="str">
        <f>_xlfn.XLOOKUP(H271, Sheet3!$E:$E, Sheet3!$D:$D, "")</f>
        <v/>
      </c>
    </row>
    <row r="272" spans="1:26" x14ac:dyDescent="0.25">
      <c r="A272" t="s">
        <v>996</v>
      </c>
      <c r="B272" t="s">
        <v>17</v>
      </c>
      <c r="C272" t="s">
        <v>18</v>
      </c>
      <c r="D272" t="s">
        <v>997</v>
      </c>
      <c r="E272" t="s">
        <v>144</v>
      </c>
      <c r="F272" t="s">
        <v>21</v>
      </c>
      <c r="G272" t="s">
        <v>814</v>
      </c>
      <c r="H272" t="s">
        <v>998</v>
      </c>
      <c r="J272" t="s">
        <v>999</v>
      </c>
      <c r="K272" t="s">
        <v>149</v>
      </c>
      <c r="L272" t="s">
        <v>95</v>
      </c>
      <c r="M272" t="s">
        <v>27</v>
      </c>
      <c r="N272" t="s">
        <v>74</v>
      </c>
      <c r="O272" t="s">
        <v>29</v>
      </c>
      <c r="P272" t="s">
        <v>89</v>
      </c>
      <c r="X272" s="7" t="str">
        <f>_xlfn.XLOOKUP(H272, Sheet3!$E:$E, Sheet3!$B:$B, "")</f>
        <v/>
      </c>
      <c r="Y272" s="7" t="str">
        <f>_xlfn.XLOOKUP(H272, Sheet3!$E:$E, Sheet3!$C:$C, "")</f>
        <v/>
      </c>
      <c r="Z272" s="7" t="str">
        <f>_xlfn.XLOOKUP(H272, Sheet3!$E:$E, Sheet3!$D:$D, "")</f>
        <v/>
      </c>
    </row>
    <row r="273" spans="1:26" x14ac:dyDescent="0.25">
      <c r="A273" t="s">
        <v>996</v>
      </c>
      <c r="B273" t="s">
        <v>31</v>
      </c>
      <c r="C273" t="s">
        <v>18</v>
      </c>
      <c r="D273" t="s">
        <v>1000</v>
      </c>
      <c r="E273" t="s">
        <v>144</v>
      </c>
      <c r="F273" t="s">
        <v>21</v>
      </c>
      <c r="G273" t="s">
        <v>814</v>
      </c>
      <c r="J273" t="s">
        <v>1001</v>
      </c>
      <c r="K273" t="s">
        <v>149</v>
      </c>
      <c r="L273" t="s">
        <v>95</v>
      </c>
      <c r="M273" t="s">
        <v>27</v>
      </c>
      <c r="N273" t="s">
        <v>74</v>
      </c>
      <c r="O273" t="s">
        <v>29</v>
      </c>
      <c r="P273" t="s">
        <v>89</v>
      </c>
      <c r="X273" s="7" t="str">
        <f>_xlfn.XLOOKUP(H273, Sheet3!$E:$E, Sheet3!$B:$B, "")</f>
        <v/>
      </c>
      <c r="Y273" s="7" t="str">
        <f>_xlfn.XLOOKUP(H273, Sheet3!$E:$E, Sheet3!$C:$C, "")</f>
        <v/>
      </c>
      <c r="Z273" s="7" t="str">
        <f>_xlfn.XLOOKUP(H273, Sheet3!$E:$E, Sheet3!$D:$D, "")</f>
        <v/>
      </c>
    </row>
    <row r="274" spans="1:26" x14ac:dyDescent="0.25">
      <c r="A274" t="s">
        <v>996</v>
      </c>
      <c r="B274" t="s">
        <v>1002</v>
      </c>
      <c r="C274" t="s">
        <v>18</v>
      </c>
      <c r="D274" t="s">
        <v>1003</v>
      </c>
      <c r="E274" t="s">
        <v>144</v>
      </c>
      <c r="F274" t="s">
        <v>21</v>
      </c>
      <c r="G274" t="s">
        <v>814</v>
      </c>
      <c r="H274" t="s">
        <v>1004</v>
      </c>
      <c r="J274" t="s">
        <v>1005</v>
      </c>
      <c r="K274" t="s">
        <v>149</v>
      </c>
      <c r="L274" t="s">
        <v>122</v>
      </c>
      <c r="M274" t="s">
        <v>27</v>
      </c>
      <c r="N274" t="s">
        <v>74</v>
      </c>
      <c r="O274" t="s">
        <v>29</v>
      </c>
      <c r="P274" t="s">
        <v>89</v>
      </c>
      <c r="X274" s="7" t="str">
        <f>_xlfn.XLOOKUP(H274, Sheet3!$E:$E, Sheet3!$B:$B, "")</f>
        <v/>
      </c>
      <c r="Y274" s="7" t="str">
        <f>_xlfn.XLOOKUP(H274, Sheet3!$E:$E, Sheet3!$C:$C, "")</f>
        <v/>
      </c>
      <c r="Z274" s="7" t="str">
        <f>_xlfn.XLOOKUP(H274, Sheet3!$E:$E, Sheet3!$D:$D, "")</f>
        <v/>
      </c>
    </row>
    <row r="275" spans="1:26" x14ac:dyDescent="0.25">
      <c r="A275" t="s">
        <v>1006</v>
      </c>
      <c r="B275" t="s">
        <v>51</v>
      </c>
      <c r="C275" t="s">
        <v>18</v>
      </c>
      <c r="D275" t="s">
        <v>1007</v>
      </c>
      <c r="E275" t="s">
        <v>435</v>
      </c>
      <c r="F275" t="s">
        <v>21</v>
      </c>
      <c r="G275" t="s">
        <v>1008</v>
      </c>
      <c r="H275" t="s">
        <v>1009</v>
      </c>
      <c r="J275" t="s">
        <v>1010</v>
      </c>
      <c r="K275" t="s">
        <v>149</v>
      </c>
      <c r="L275" t="s">
        <v>122</v>
      </c>
      <c r="M275" t="s">
        <v>27</v>
      </c>
      <c r="N275" t="s">
        <v>74</v>
      </c>
      <c r="O275" t="s">
        <v>29</v>
      </c>
      <c r="P275" t="s">
        <v>308</v>
      </c>
      <c r="X275" s="7" t="str">
        <f>_xlfn.XLOOKUP(H275, Sheet3!$E:$E, Sheet3!$B:$B, "")</f>
        <v/>
      </c>
      <c r="Y275" s="7" t="str">
        <f>_xlfn.XLOOKUP(H275, Sheet3!$E:$E, Sheet3!$C:$C, "")</f>
        <v/>
      </c>
      <c r="Z275" s="7" t="str">
        <f>_xlfn.XLOOKUP(H275, Sheet3!$E:$E, Sheet3!$D:$D, "")</f>
        <v/>
      </c>
    </row>
    <row r="276" spans="1:26" x14ac:dyDescent="0.25">
      <c r="A276" t="s">
        <v>1011</v>
      </c>
      <c r="B276" t="s">
        <v>51</v>
      </c>
      <c r="C276" t="s">
        <v>18</v>
      </c>
      <c r="D276" t="s">
        <v>1012</v>
      </c>
      <c r="E276" t="s">
        <v>144</v>
      </c>
      <c r="F276" t="s">
        <v>1013</v>
      </c>
      <c r="G276" t="s">
        <v>1014</v>
      </c>
      <c r="H276" t="s">
        <v>1015</v>
      </c>
      <c r="J276" t="s">
        <v>1016</v>
      </c>
      <c r="K276" t="s">
        <v>149</v>
      </c>
      <c r="L276" t="s">
        <v>95</v>
      </c>
      <c r="M276" t="s">
        <v>27</v>
      </c>
      <c r="N276" t="s">
        <v>74</v>
      </c>
      <c r="O276" t="s">
        <v>29</v>
      </c>
      <c r="P276" t="s">
        <v>89</v>
      </c>
      <c r="X276" s="7" t="str">
        <f>_xlfn.XLOOKUP(H276, Sheet3!$E:$E, Sheet3!$B:$B, "")</f>
        <v/>
      </c>
      <c r="Y276" s="7" t="str">
        <f>_xlfn.XLOOKUP(H276, Sheet3!$E:$E, Sheet3!$C:$C, "")</f>
        <v/>
      </c>
      <c r="Z276" s="7" t="str">
        <f>_xlfn.XLOOKUP(H276, Sheet3!$E:$E, Sheet3!$D:$D, "")</f>
        <v/>
      </c>
    </row>
    <row r="277" spans="1:26" x14ac:dyDescent="0.25">
      <c r="A277" t="s">
        <v>1017</v>
      </c>
      <c r="B277" t="s">
        <v>17</v>
      </c>
      <c r="C277" t="s">
        <v>18</v>
      </c>
      <c r="D277" t="s">
        <v>1018</v>
      </c>
      <c r="E277" t="s">
        <v>1019</v>
      </c>
      <c r="F277" t="s">
        <v>35</v>
      </c>
      <c r="G277" t="s">
        <v>1020</v>
      </c>
      <c r="H277" t="s">
        <v>1021</v>
      </c>
      <c r="J277" t="s">
        <v>860</v>
      </c>
      <c r="K277" t="s">
        <v>149</v>
      </c>
      <c r="L277" t="s">
        <v>273</v>
      </c>
      <c r="M277" t="s">
        <v>27</v>
      </c>
      <c r="N277" t="s">
        <v>74</v>
      </c>
      <c r="O277" t="s">
        <v>29</v>
      </c>
      <c r="P277" t="s">
        <v>89</v>
      </c>
      <c r="X277" s="7" t="str">
        <f>_xlfn.XLOOKUP(H277, Sheet3!$E:$E, Sheet3!$B:$B, "")</f>
        <v/>
      </c>
      <c r="Y277" s="7" t="str">
        <f>_xlfn.XLOOKUP(H277, Sheet3!$E:$E, Sheet3!$C:$C, "")</f>
        <v/>
      </c>
      <c r="Z277" s="7" t="str">
        <f>_xlfn.XLOOKUP(H277, Sheet3!$E:$E, Sheet3!$D:$D, "")</f>
        <v/>
      </c>
    </row>
    <row r="278" spans="1:26" x14ac:dyDescent="0.25">
      <c r="A278" t="s">
        <v>1017</v>
      </c>
      <c r="B278" t="s">
        <v>31</v>
      </c>
      <c r="C278" t="s">
        <v>18</v>
      </c>
      <c r="D278" t="s">
        <v>1022</v>
      </c>
      <c r="E278" t="s">
        <v>1019</v>
      </c>
      <c r="F278" t="s">
        <v>35</v>
      </c>
      <c r="G278" t="s">
        <v>1020</v>
      </c>
      <c r="J278" t="s">
        <v>1023</v>
      </c>
      <c r="K278" t="s">
        <v>149</v>
      </c>
      <c r="L278" t="s">
        <v>273</v>
      </c>
      <c r="M278" t="s">
        <v>27</v>
      </c>
      <c r="N278" t="s">
        <v>74</v>
      </c>
      <c r="O278" t="s">
        <v>29</v>
      </c>
      <c r="P278" t="s">
        <v>89</v>
      </c>
      <c r="X278" s="7" t="str">
        <f>_xlfn.XLOOKUP(H278, Sheet3!$E:$E, Sheet3!$B:$B, "")</f>
        <v/>
      </c>
      <c r="Y278" s="7" t="str">
        <f>_xlfn.XLOOKUP(H278, Sheet3!$E:$E, Sheet3!$C:$C, "")</f>
        <v/>
      </c>
      <c r="Z278" s="7" t="str">
        <f>_xlfn.XLOOKUP(H278, Sheet3!$E:$E, Sheet3!$D:$D, "")</f>
        <v/>
      </c>
    </row>
    <row r="279" spans="1:26" x14ac:dyDescent="0.25">
      <c r="A279" t="s">
        <v>1024</v>
      </c>
      <c r="B279" t="s">
        <v>17</v>
      </c>
      <c r="C279" t="s">
        <v>18</v>
      </c>
      <c r="D279" t="s">
        <v>1025</v>
      </c>
      <c r="E279" t="s">
        <v>144</v>
      </c>
      <c r="F279" t="s">
        <v>1026</v>
      </c>
      <c r="G279" t="s">
        <v>1027</v>
      </c>
      <c r="H279" t="s">
        <v>1028</v>
      </c>
      <c r="J279" t="s">
        <v>1029</v>
      </c>
      <c r="K279" t="s">
        <v>149</v>
      </c>
      <c r="L279" t="s">
        <v>95</v>
      </c>
      <c r="M279" t="s">
        <v>27</v>
      </c>
      <c r="N279" t="s">
        <v>645</v>
      </c>
      <c r="O279" t="s">
        <v>29</v>
      </c>
      <c r="P279" t="s">
        <v>89</v>
      </c>
      <c r="X279" s="7" t="str">
        <f>_xlfn.XLOOKUP(H279, Sheet3!$E:$E, Sheet3!$B:$B, "")</f>
        <v/>
      </c>
      <c r="Y279" s="7" t="str">
        <f>_xlfn.XLOOKUP(H279, Sheet3!$E:$E, Sheet3!$C:$C, "")</f>
        <v/>
      </c>
      <c r="Z279" s="7" t="str">
        <f>_xlfn.XLOOKUP(H279, Sheet3!$E:$E, Sheet3!$D:$D, "")</f>
        <v/>
      </c>
    </row>
    <row r="280" spans="1:26" x14ac:dyDescent="0.25">
      <c r="A280" t="s">
        <v>1024</v>
      </c>
      <c r="B280" t="s">
        <v>31</v>
      </c>
      <c r="C280" t="s">
        <v>18</v>
      </c>
      <c r="D280" t="s">
        <v>1030</v>
      </c>
      <c r="E280" t="s">
        <v>144</v>
      </c>
      <c r="F280" t="s">
        <v>1026</v>
      </c>
      <c r="G280" t="s">
        <v>1027</v>
      </c>
      <c r="J280" t="s">
        <v>171</v>
      </c>
      <c r="K280" t="s">
        <v>149</v>
      </c>
      <c r="L280" t="s">
        <v>95</v>
      </c>
      <c r="M280" t="s">
        <v>27</v>
      </c>
      <c r="N280" t="s">
        <v>645</v>
      </c>
      <c r="O280" t="s">
        <v>29</v>
      </c>
      <c r="P280" t="s">
        <v>89</v>
      </c>
      <c r="X280" s="7" t="str">
        <f>_xlfn.XLOOKUP(H280, Sheet3!$E:$E, Sheet3!$B:$B, "")</f>
        <v/>
      </c>
      <c r="Y280" s="7" t="str">
        <f>_xlfn.XLOOKUP(H280, Sheet3!$E:$E, Sheet3!$C:$C, "")</f>
        <v/>
      </c>
      <c r="Z280" s="7" t="str">
        <f>_xlfn.XLOOKUP(H280, Sheet3!$E:$E, Sheet3!$D:$D, "")</f>
        <v/>
      </c>
    </row>
    <row r="281" spans="1:26" x14ac:dyDescent="0.25">
      <c r="A281" t="s">
        <v>1031</v>
      </c>
      <c r="B281" t="s">
        <v>17</v>
      </c>
      <c r="C281" t="s">
        <v>18</v>
      </c>
      <c r="D281" t="s">
        <v>1032</v>
      </c>
      <c r="E281" t="s">
        <v>201</v>
      </c>
      <c r="F281" t="s">
        <v>107</v>
      </c>
      <c r="G281" t="s">
        <v>108</v>
      </c>
      <c r="H281" t="s">
        <v>1033</v>
      </c>
      <c r="J281" t="s">
        <v>911</v>
      </c>
      <c r="K281" t="s">
        <v>149</v>
      </c>
      <c r="L281" t="s">
        <v>212</v>
      </c>
      <c r="M281" t="s">
        <v>27</v>
      </c>
      <c r="N281" t="s">
        <v>645</v>
      </c>
      <c r="O281" t="s">
        <v>29</v>
      </c>
      <c r="P281" t="s">
        <v>111</v>
      </c>
      <c r="X281" s="7" t="str">
        <f>_xlfn.XLOOKUP(H281, Sheet3!$E:$E, Sheet3!$B:$B, "")</f>
        <v/>
      </c>
      <c r="Y281" s="7" t="str">
        <f>_xlfn.XLOOKUP(H281, Sheet3!$E:$E, Sheet3!$C:$C, "")</f>
        <v/>
      </c>
      <c r="Z281" s="7" t="str">
        <f>_xlfn.XLOOKUP(H281, Sheet3!$E:$E, Sheet3!$D:$D, "")</f>
        <v/>
      </c>
    </row>
    <row r="282" spans="1:26" x14ac:dyDescent="0.25">
      <c r="A282" t="s">
        <v>1031</v>
      </c>
      <c r="B282" t="s">
        <v>31</v>
      </c>
      <c r="C282" t="s">
        <v>18</v>
      </c>
      <c r="D282" t="s">
        <v>1034</v>
      </c>
      <c r="E282" t="s">
        <v>201</v>
      </c>
      <c r="F282" t="s">
        <v>107</v>
      </c>
      <c r="G282" t="s">
        <v>108</v>
      </c>
      <c r="J282" t="s">
        <v>1035</v>
      </c>
      <c r="K282" t="s">
        <v>149</v>
      </c>
      <c r="L282" t="s">
        <v>214</v>
      </c>
      <c r="M282" t="s">
        <v>27</v>
      </c>
      <c r="N282" t="s">
        <v>645</v>
      </c>
      <c r="O282" t="s">
        <v>29</v>
      </c>
      <c r="P282" t="s">
        <v>111</v>
      </c>
      <c r="X282" s="7" t="str">
        <f>_xlfn.XLOOKUP(H282, Sheet3!$E:$E, Sheet3!$B:$B, "")</f>
        <v/>
      </c>
      <c r="Y282" s="7" t="str">
        <f>_xlfn.XLOOKUP(H282, Sheet3!$E:$E, Sheet3!$C:$C, "")</f>
        <v/>
      </c>
      <c r="Z282" s="7" t="str">
        <f>_xlfn.XLOOKUP(H282, Sheet3!$E:$E, Sheet3!$D:$D, "")</f>
        <v/>
      </c>
    </row>
    <row r="283" spans="1:26" x14ac:dyDescent="0.25">
      <c r="A283" t="s">
        <v>1031</v>
      </c>
      <c r="B283" t="s">
        <v>113</v>
      </c>
      <c r="C283" t="s">
        <v>18</v>
      </c>
      <c r="D283" t="s">
        <v>1036</v>
      </c>
      <c r="E283" t="s">
        <v>201</v>
      </c>
      <c r="F283" t="s">
        <v>107</v>
      </c>
      <c r="G283" t="s">
        <v>108</v>
      </c>
      <c r="H283" t="s">
        <v>1037</v>
      </c>
      <c r="J283" t="s">
        <v>1038</v>
      </c>
      <c r="K283" t="s">
        <v>149</v>
      </c>
      <c r="L283" t="s">
        <v>212</v>
      </c>
      <c r="M283" t="s">
        <v>27</v>
      </c>
      <c r="N283" t="s">
        <v>645</v>
      </c>
      <c r="O283" t="s">
        <v>29</v>
      </c>
      <c r="P283" t="s">
        <v>111</v>
      </c>
      <c r="X283" s="7" t="str">
        <f>_xlfn.XLOOKUP(H283, Sheet3!$E:$E, Sheet3!$B:$B, "")</f>
        <v/>
      </c>
      <c r="Y283" s="7" t="str">
        <f>_xlfn.XLOOKUP(H283, Sheet3!$E:$E, Sheet3!$C:$C, "")</f>
        <v/>
      </c>
      <c r="Z283" s="7" t="str">
        <f>_xlfn.XLOOKUP(H283, Sheet3!$E:$E, Sheet3!$D:$D, "")</f>
        <v/>
      </c>
    </row>
    <row r="284" spans="1:26" x14ac:dyDescent="0.25">
      <c r="A284" t="s">
        <v>1039</v>
      </c>
      <c r="B284" t="s">
        <v>17</v>
      </c>
      <c r="C284" t="s">
        <v>18</v>
      </c>
      <c r="D284" t="s">
        <v>1040</v>
      </c>
      <c r="E284" t="s">
        <v>144</v>
      </c>
      <c r="F284" t="s">
        <v>21</v>
      </c>
      <c r="G284" t="s">
        <v>92</v>
      </c>
      <c r="H284" s="7" t="s">
        <v>1275</v>
      </c>
      <c r="J284" t="s">
        <v>1042</v>
      </c>
      <c r="K284" t="s">
        <v>149</v>
      </c>
      <c r="L284" t="s">
        <v>1043</v>
      </c>
      <c r="M284" t="s">
        <v>27</v>
      </c>
      <c r="N284" t="s">
        <v>74</v>
      </c>
      <c r="O284" t="s">
        <v>29</v>
      </c>
      <c r="P284" t="s">
        <v>89</v>
      </c>
      <c r="Q284" s="7" t="s">
        <v>1077</v>
      </c>
      <c r="R284" t="s">
        <v>1072</v>
      </c>
      <c r="S284" s="7" t="s">
        <v>1073</v>
      </c>
      <c r="T284" s="5">
        <v>6.25E-2</v>
      </c>
      <c r="U284" s="6" t="s">
        <v>1069</v>
      </c>
      <c r="V284" t="s">
        <v>1074</v>
      </c>
      <c r="X284" s="7" t="str">
        <f>_xlfn.XLOOKUP(H284, Sheet3!$E:$E, Sheet3!$B:$B, "")</f>
        <v/>
      </c>
      <c r="Y284" s="7" t="str">
        <f>_xlfn.XLOOKUP(H284, Sheet3!$E:$E, Sheet3!$C:$C, "")</f>
        <v/>
      </c>
      <c r="Z284" s="7" t="str">
        <f>_xlfn.XLOOKUP(H284, Sheet3!$E:$E, Sheet3!$D:$D, "")</f>
        <v/>
      </c>
    </row>
    <row r="285" spans="1:26" x14ac:dyDescent="0.25">
      <c r="A285" t="s">
        <v>1039</v>
      </c>
      <c r="B285" t="s">
        <v>31</v>
      </c>
      <c r="C285" t="s">
        <v>18</v>
      </c>
      <c r="D285" t="s">
        <v>1044</v>
      </c>
      <c r="E285" t="s">
        <v>144</v>
      </c>
      <c r="F285" t="s">
        <v>21</v>
      </c>
      <c r="G285" t="s">
        <v>92</v>
      </c>
      <c r="J285" t="s">
        <v>1045</v>
      </c>
      <c r="K285" t="s">
        <v>149</v>
      </c>
      <c r="L285" t="s">
        <v>1046</v>
      </c>
      <c r="M285" t="s">
        <v>27</v>
      </c>
      <c r="N285" t="s">
        <v>74</v>
      </c>
      <c r="O285" t="s">
        <v>29</v>
      </c>
      <c r="P285" t="s">
        <v>89</v>
      </c>
      <c r="Q285" s="7"/>
      <c r="S285" s="7"/>
      <c r="T285" s="5"/>
      <c r="U285" s="6"/>
      <c r="X285" s="7" t="str">
        <f>_xlfn.XLOOKUP(H285, Sheet3!$E:$E, Sheet3!$B:$B, "")</f>
        <v/>
      </c>
      <c r="Y285" s="7" t="str">
        <f>_xlfn.XLOOKUP(H285, Sheet3!$E:$E, Sheet3!$C:$C, "")</f>
        <v/>
      </c>
      <c r="Z285" s="7" t="str">
        <f>_xlfn.XLOOKUP(H285, Sheet3!$E:$E, Sheet3!$D:$D, "")</f>
        <v/>
      </c>
    </row>
    <row r="286" spans="1:26" x14ac:dyDescent="0.25">
      <c r="A286" t="s">
        <v>1047</v>
      </c>
      <c r="B286" t="s">
        <v>17</v>
      </c>
      <c r="C286" t="s">
        <v>18</v>
      </c>
      <c r="D286" t="s">
        <v>1048</v>
      </c>
      <c r="E286" t="s">
        <v>144</v>
      </c>
      <c r="F286" t="s">
        <v>21</v>
      </c>
      <c r="G286" t="s">
        <v>85</v>
      </c>
      <c r="H286" t="s">
        <v>1049</v>
      </c>
      <c r="J286" t="s">
        <v>1050</v>
      </c>
      <c r="K286" t="s">
        <v>149</v>
      </c>
      <c r="L286" t="s">
        <v>95</v>
      </c>
      <c r="M286" t="s">
        <v>27</v>
      </c>
      <c r="N286" t="s">
        <v>74</v>
      </c>
      <c r="O286" t="s">
        <v>29</v>
      </c>
      <c r="P286" t="s">
        <v>89</v>
      </c>
      <c r="Q286" s="7" t="s">
        <v>1071</v>
      </c>
      <c r="R286" s="7" t="s">
        <v>1075</v>
      </c>
      <c r="S286" s="7" t="s">
        <v>1076</v>
      </c>
      <c r="T286" s="5">
        <v>6.25E-2</v>
      </c>
      <c r="U286" s="6" t="s">
        <v>1069</v>
      </c>
      <c r="V286" t="s">
        <v>1074</v>
      </c>
      <c r="X286" s="7" t="str">
        <f>_xlfn.XLOOKUP(H286, Sheet3!$E:$E, Sheet3!$B:$B, "")</f>
        <v/>
      </c>
      <c r="Y286" s="7" t="str">
        <f>_xlfn.XLOOKUP(H286, Sheet3!$E:$E, Sheet3!$C:$C, "")</f>
        <v/>
      </c>
      <c r="Z286" s="7" t="str">
        <f>_xlfn.XLOOKUP(H286, Sheet3!$E:$E, Sheet3!$D:$D, "")</f>
        <v/>
      </c>
    </row>
    <row r="287" spans="1:26" x14ac:dyDescent="0.25">
      <c r="A287" t="s">
        <v>1047</v>
      </c>
      <c r="B287" t="s">
        <v>31</v>
      </c>
      <c r="C287" t="s">
        <v>18</v>
      </c>
      <c r="D287" t="s">
        <v>1051</v>
      </c>
      <c r="E287" t="s">
        <v>144</v>
      </c>
      <c r="F287" t="s">
        <v>21</v>
      </c>
      <c r="G287" t="s">
        <v>85</v>
      </c>
      <c r="J287" t="s">
        <v>1052</v>
      </c>
      <c r="K287" t="s">
        <v>149</v>
      </c>
      <c r="L287" t="s">
        <v>95</v>
      </c>
      <c r="M287" t="s">
        <v>27</v>
      </c>
      <c r="N287" t="s">
        <v>74</v>
      </c>
      <c r="O287" t="s">
        <v>29</v>
      </c>
      <c r="P287" t="s">
        <v>89</v>
      </c>
      <c r="X287" s="7" t="str">
        <f>_xlfn.XLOOKUP(H287, Sheet3!$E:$E, Sheet3!$B:$B, "")</f>
        <v/>
      </c>
      <c r="Y287" s="7" t="str">
        <f>_xlfn.XLOOKUP(H287, Sheet3!$E:$E, Sheet3!$C:$C, "")</f>
        <v/>
      </c>
      <c r="Z287" s="7" t="str">
        <f>_xlfn.XLOOKUP(H287, Sheet3!$E:$E, Sheet3!$D:$D, "")</f>
        <v/>
      </c>
    </row>
    <row r="288" spans="1:26" x14ac:dyDescent="0.25">
      <c r="A288" t="s">
        <v>1053</v>
      </c>
      <c r="B288" t="s">
        <v>17</v>
      </c>
      <c r="C288" t="s">
        <v>18</v>
      </c>
      <c r="D288" t="s">
        <v>1054</v>
      </c>
      <c r="E288" t="s">
        <v>144</v>
      </c>
      <c r="F288" t="s">
        <v>145</v>
      </c>
      <c r="G288" t="s">
        <v>1055</v>
      </c>
      <c r="H288" t="s">
        <v>1056</v>
      </c>
      <c r="J288" t="s">
        <v>1057</v>
      </c>
      <c r="K288" t="s">
        <v>149</v>
      </c>
      <c r="L288" t="s">
        <v>122</v>
      </c>
      <c r="M288" t="s">
        <v>27</v>
      </c>
      <c r="N288" t="s">
        <v>74</v>
      </c>
      <c r="O288" t="s">
        <v>29</v>
      </c>
      <c r="P288" t="s">
        <v>308</v>
      </c>
      <c r="X288" s="7" t="str">
        <f>_xlfn.XLOOKUP(H288, Sheet3!$E:$E, Sheet3!$B:$B, "")</f>
        <v/>
      </c>
      <c r="Y288" s="7" t="str">
        <f>_xlfn.XLOOKUP(H288, Sheet3!$E:$E, Sheet3!$C:$C, "")</f>
        <v/>
      </c>
      <c r="Z288" s="7" t="str">
        <f>_xlfn.XLOOKUP(H288, Sheet3!$E:$E, Sheet3!$D:$D, "")</f>
        <v/>
      </c>
    </row>
    <row r="289" spans="1:26" x14ac:dyDescent="0.25">
      <c r="A289" t="s">
        <v>1053</v>
      </c>
      <c r="B289" t="s">
        <v>31</v>
      </c>
      <c r="C289" t="s">
        <v>18</v>
      </c>
      <c r="D289" t="s">
        <v>1058</v>
      </c>
      <c r="E289" t="s">
        <v>144</v>
      </c>
      <c r="F289" t="s">
        <v>145</v>
      </c>
      <c r="G289" t="s">
        <v>1055</v>
      </c>
      <c r="J289" t="s">
        <v>1023</v>
      </c>
      <c r="K289" t="s">
        <v>149</v>
      </c>
      <c r="L289" t="s">
        <v>122</v>
      </c>
      <c r="M289" t="s">
        <v>27</v>
      </c>
      <c r="N289" t="s">
        <v>74</v>
      </c>
      <c r="O289" t="s">
        <v>29</v>
      </c>
      <c r="P289" t="s">
        <v>308</v>
      </c>
      <c r="X289" s="7" t="str">
        <f>_xlfn.XLOOKUP(H289, Sheet3!$E:$E, Sheet3!$B:$B, "")</f>
        <v/>
      </c>
      <c r="Y289" s="7" t="str">
        <f>_xlfn.XLOOKUP(H289, Sheet3!$E:$E, Sheet3!$C:$C, "")</f>
        <v/>
      </c>
      <c r="Z289" s="7" t="str">
        <f>_xlfn.XLOOKUP(H289, Sheet3!$E:$E, Sheet3!$D:$D, "")</f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9209-490A-4914-A07A-3B39C3A00500}">
  <dimension ref="A1:E54"/>
  <sheetViews>
    <sheetView workbookViewId="0">
      <selection activeCell="E43" sqref="E43"/>
    </sheetView>
  </sheetViews>
  <sheetFormatPr defaultRowHeight="15" x14ac:dyDescent="0.25"/>
  <cols>
    <col min="1" max="1" width="22.7109375" bestFit="1" customWidth="1"/>
    <col min="2" max="2" width="7.85546875" customWidth="1"/>
    <col min="3" max="3" width="10.140625" bestFit="1" customWidth="1"/>
    <col min="4" max="4" width="7.28515625" bestFit="1" customWidth="1"/>
    <col min="5" max="5" width="38.85546875" bestFit="1" customWidth="1"/>
  </cols>
  <sheetData>
    <row r="1" spans="1:5" x14ac:dyDescent="0.25">
      <c r="A1" s="22" t="s">
        <v>1273</v>
      </c>
      <c r="B1" s="10" t="s">
        <v>1185</v>
      </c>
      <c r="C1" s="10" t="s">
        <v>1186</v>
      </c>
      <c r="D1" s="10" t="s">
        <v>1187</v>
      </c>
      <c r="E1" s="10" t="s">
        <v>1274</v>
      </c>
    </row>
    <row r="2" spans="1:5" x14ac:dyDescent="0.25">
      <c r="B2" s="11" t="s">
        <v>1188</v>
      </c>
      <c r="C2" s="12" t="s">
        <v>1189</v>
      </c>
      <c r="D2" s="13" t="s">
        <v>1190</v>
      </c>
      <c r="E2" s="14" t="s">
        <v>1191</v>
      </c>
    </row>
    <row r="3" spans="1:5" x14ac:dyDescent="0.25">
      <c r="B3" s="11" t="s">
        <v>1188</v>
      </c>
      <c r="C3" s="12" t="s">
        <v>1192</v>
      </c>
      <c r="D3" s="13" t="s">
        <v>1190</v>
      </c>
      <c r="E3" s="15" t="s">
        <v>1193</v>
      </c>
    </row>
    <row r="4" spans="1:5" x14ac:dyDescent="0.25">
      <c r="B4" s="11" t="s">
        <v>1188</v>
      </c>
      <c r="C4" s="12" t="s">
        <v>1189</v>
      </c>
      <c r="D4" s="13" t="s">
        <v>1194</v>
      </c>
      <c r="E4" s="14" t="s">
        <v>1195</v>
      </c>
    </row>
    <row r="5" spans="1:5" x14ac:dyDescent="0.25">
      <c r="B5" s="11" t="s">
        <v>1188</v>
      </c>
      <c r="C5" s="12" t="s">
        <v>1192</v>
      </c>
      <c r="D5" s="13" t="s">
        <v>1194</v>
      </c>
      <c r="E5" s="15" t="s">
        <v>1196</v>
      </c>
    </row>
    <row r="6" spans="1:5" x14ac:dyDescent="0.25">
      <c r="B6" s="11" t="s">
        <v>1188</v>
      </c>
      <c r="C6" s="12" t="s">
        <v>1189</v>
      </c>
      <c r="D6" s="13" t="s">
        <v>1197</v>
      </c>
      <c r="E6" s="14" t="s">
        <v>1198</v>
      </c>
    </row>
    <row r="7" spans="1:5" x14ac:dyDescent="0.25">
      <c r="B7" s="11" t="s">
        <v>1188</v>
      </c>
      <c r="C7" s="12" t="s">
        <v>1192</v>
      </c>
      <c r="D7" s="13" t="s">
        <v>1197</v>
      </c>
      <c r="E7" s="15" t="s">
        <v>1199</v>
      </c>
    </row>
    <row r="8" spans="1:5" x14ac:dyDescent="0.25">
      <c r="B8" s="11" t="s">
        <v>1200</v>
      </c>
      <c r="C8" s="12" t="s">
        <v>1201</v>
      </c>
      <c r="D8" s="13" t="s">
        <v>1202</v>
      </c>
      <c r="E8" s="14" t="s">
        <v>1203</v>
      </c>
    </row>
    <row r="9" spans="1:5" x14ac:dyDescent="0.25">
      <c r="B9" s="11" t="s">
        <v>1200</v>
      </c>
      <c r="C9" s="12" t="s">
        <v>1204</v>
      </c>
      <c r="D9" s="13" t="s">
        <v>1205</v>
      </c>
      <c r="E9" s="14" t="s">
        <v>1206</v>
      </c>
    </row>
    <row r="10" spans="1:5" x14ac:dyDescent="0.25">
      <c r="B10" s="11" t="s">
        <v>1207</v>
      </c>
      <c r="C10" s="12" t="s">
        <v>1208</v>
      </c>
      <c r="D10" s="13" t="s">
        <v>1209</v>
      </c>
      <c r="E10" s="14" t="s">
        <v>1210</v>
      </c>
    </row>
    <row r="11" spans="1:5" x14ac:dyDescent="0.25">
      <c r="B11" s="11" t="s">
        <v>1207</v>
      </c>
      <c r="C11" s="12" t="s">
        <v>1211</v>
      </c>
      <c r="D11" s="13" t="s">
        <v>1209</v>
      </c>
      <c r="E11" s="15" t="s">
        <v>1212</v>
      </c>
    </row>
    <row r="12" spans="1:5" x14ac:dyDescent="0.25">
      <c r="B12" s="11" t="s">
        <v>1207</v>
      </c>
      <c r="C12" s="12" t="s">
        <v>1208</v>
      </c>
      <c r="D12" s="13" t="s">
        <v>1213</v>
      </c>
      <c r="E12" s="14" t="s">
        <v>1214</v>
      </c>
    </row>
    <row r="13" spans="1:5" x14ac:dyDescent="0.25">
      <c r="B13" s="11" t="s">
        <v>1207</v>
      </c>
      <c r="C13" s="12" t="s">
        <v>1211</v>
      </c>
      <c r="D13" s="13" t="s">
        <v>1213</v>
      </c>
      <c r="E13" s="15" t="s">
        <v>1215</v>
      </c>
    </row>
    <row r="14" spans="1:5" x14ac:dyDescent="0.25">
      <c r="B14" s="16" t="s">
        <v>1188</v>
      </c>
      <c r="C14" s="17" t="s">
        <v>1216</v>
      </c>
      <c r="D14" s="18" t="s">
        <v>1217</v>
      </c>
      <c r="E14" s="19" t="s">
        <v>1218</v>
      </c>
    </row>
    <row r="15" spans="1:5" x14ac:dyDescent="0.25">
      <c r="B15" s="16" t="s">
        <v>1188</v>
      </c>
      <c r="C15" s="17" t="s">
        <v>1219</v>
      </c>
      <c r="D15" s="18" t="s">
        <v>1217</v>
      </c>
      <c r="E15" s="19" t="s">
        <v>1220</v>
      </c>
    </row>
    <row r="16" spans="1:5" x14ac:dyDescent="0.25">
      <c r="B16" s="16" t="s">
        <v>1188</v>
      </c>
      <c r="C16" s="17" t="s">
        <v>1221</v>
      </c>
      <c r="D16" s="18" t="s">
        <v>1217</v>
      </c>
      <c r="E16" s="19" t="s">
        <v>1222</v>
      </c>
    </row>
    <row r="17" spans="1:5" x14ac:dyDescent="0.25">
      <c r="B17" s="16" t="s">
        <v>1188</v>
      </c>
      <c r="C17" s="17" t="s">
        <v>1223</v>
      </c>
      <c r="D17" s="18" t="s">
        <v>1217</v>
      </c>
      <c r="E17" s="20" t="s">
        <v>1224</v>
      </c>
    </row>
    <row r="18" spans="1:5" x14ac:dyDescent="0.25">
      <c r="B18" s="16" t="s">
        <v>1188</v>
      </c>
      <c r="C18" s="17" t="s">
        <v>1216</v>
      </c>
      <c r="D18" s="18" t="s">
        <v>1225</v>
      </c>
      <c r="E18" s="19" t="s">
        <v>1226</v>
      </c>
    </row>
    <row r="19" spans="1:5" x14ac:dyDescent="0.25">
      <c r="B19" s="16" t="s">
        <v>1188</v>
      </c>
      <c r="C19" s="17" t="s">
        <v>1219</v>
      </c>
      <c r="D19" s="18" t="s">
        <v>1225</v>
      </c>
      <c r="E19" s="19" t="s">
        <v>1227</v>
      </c>
    </row>
    <row r="20" spans="1:5" x14ac:dyDescent="0.25">
      <c r="B20" s="16" t="s">
        <v>1188</v>
      </c>
      <c r="C20" s="17" t="s">
        <v>1221</v>
      </c>
      <c r="D20" s="18" t="s">
        <v>1225</v>
      </c>
      <c r="E20" s="19" t="s">
        <v>1228</v>
      </c>
    </row>
    <row r="21" spans="1:5" x14ac:dyDescent="0.25">
      <c r="B21" s="16" t="s">
        <v>1188</v>
      </c>
      <c r="C21" s="17" t="s">
        <v>1223</v>
      </c>
      <c r="D21" s="18" t="s">
        <v>1225</v>
      </c>
      <c r="E21" s="19" t="s">
        <v>1229</v>
      </c>
    </row>
    <row r="22" spans="1:5" x14ac:dyDescent="0.25">
      <c r="B22" s="16" t="s">
        <v>1200</v>
      </c>
      <c r="C22" s="17" t="s">
        <v>1230</v>
      </c>
      <c r="D22" s="18" t="s">
        <v>1231</v>
      </c>
      <c r="E22" s="21" t="s">
        <v>1232</v>
      </c>
    </row>
    <row r="23" spans="1:5" x14ac:dyDescent="0.25">
      <c r="B23" s="16" t="s">
        <v>1200</v>
      </c>
      <c r="C23" s="17" t="s">
        <v>1230</v>
      </c>
      <c r="D23" s="18" t="s">
        <v>1233</v>
      </c>
      <c r="E23" s="21" t="s">
        <v>1234</v>
      </c>
    </row>
    <row r="24" spans="1:5" x14ac:dyDescent="0.25">
      <c r="B24" s="16" t="s">
        <v>1207</v>
      </c>
      <c r="C24" s="17" t="s">
        <v>1235</v>
      </c>
      <c r="D24" s="18" t="s">
        <v>1236</v>
      </c>
      <c r="E24" s="21" t="s">
        <v>1237</v>
      </c>
    </row>
    <row r="25" spans="1:5" x14ac:dyDescent="0.25">
      <c r="B25" s="16" t="s">
        <v>1207</v>
      </c>
      <c r="C25" s="17" t="s">
        <v>1238</v>
      </c>
      <c r="D25" s="18" t="s">
        <v>1236</v>
      </c>
      <c r="E25" s="19" t="s">
        <v>1239</v>
      </c>
    </row>
    <row r="26" spans="1:5" x14ac:dyDescent="0.25">
      <c r="B26" s="16" t="s">
        <v>1207</v>
      </c>
      <c r="C26" s="17" t="s">
        <v>1235</v>
      </c>
      <c r="D26" s="18" t="s">
        <v>1240</v>
      </c>
      <c r="E26" s="21" t="s">
        <v>1241</v>
      </c>
    </row>
    <row r="27" spans="1:5" x14ac:dyDescent="0.25">
      <c r="B27" s="16" t="s">
        <v>1207</v>
      </c>
      <c r="C27" s="17" t="s">
        <v>1238</v>
      </c>
      <c r="D27" s="18" t="s">
        <v>1240</v>
      </c>
      <c r="E27" s="19" t="s">
        <v>1242</v>
      </c>
    </row>
    <row r="28" spans="1:5" x14ac:dyDescent="0.25">
      <c r="B28" s="10"/>
      <c r="C28" s="10"/>
      <c r="D28" s="10"/>
      <c r="E28" s="10"/>
    </row>
    <row r="29" spans="1:5" x14ac:dyDescent="0.25">
      <c r="A29" s="22" t="s">
        <v>1273</v>
      </c>
      <c r="B29" s="11" t="s">
        <v>1188</v>
      </c>
      <c r="C29" s="12" t="s">
        <v>1189</v>
      </c>
      <c r="D29" s="13" t="s">
        <v>1190</v>
      </c>
      <c r="E29" s="14" t="s">
        <v>1243</v>
      </c>
    </row>
    <row r="30" spans="1:5" x14ac:dyDescent="0.25">
      <c r="B30" s="11" t="s">
        <v>1188</v>
      </c>
      <c r="C30" s="12" t="s">
        <v>1192</v>
      </c>
      <c r="D30" s="13" t="s">
        <v>1190</v>
      </c>
      <c r="E30" s="15" t="s">
        <v>1244</v>
      </c>
    </row>
    <row r="31" spans="1:5" x14ac:dyDescent="0.25">
      <c r="B31" s="11" t="s">
        <v>1188</v>
      </c>
      <c r="C31" s="12" t="s">
        <v>1189</v>
      </c>
      <c r="D31" s="13" t="s">
        <v>1194</v>
      </c>
      <c r="E31" s="14" t="s">
        <v>1245</v>
      </c>
    </row>
    <row r="32" spans="1:5" x14ac:dyDescent="0.25">
      <c r="B32" s="11" t="s">
        <v>1188</v>
      </c>
      <c r="C32" s="12" t="s">
        <v>1192</v>
      </c>
      <c r="D32" s="13" t="s">
        <v>1194</v>
      </c>
      <c r="E32" s="15" t="s">
        <v>1246</v>
      </c>
    </row>
    <row r="33" spans="2:5" x14ac:dyDescent="0.25">
      <c r="B33" s="11" t="s">
        <v>1188</v>
      </c>
      <c r="C33" s="12" t="s">
        <v>1189</v>
      </c>
      <c r="D33" s="13" t="s">
        <v>1197</v>
      </c>
      <c r="E33" s="14" t="s">
        <v>1247</v>
      </c>
    </row>
    <row r="34" spans="2:5" x14ac:dyDescent="0.25">
      <c r="B34" s="11" t="s">
        <v>1188</v>
      </c>
      <c r="C34" s="12" t="s">
        <v>1192</v>
      </c>
      <c r="D34" s="13" t="s">
        <v>1197</v>
      </c>
      <c r="E34" s="15" t="s">
        <v>1248</v>
      </c>
    </row>
    <row r="35" spans="2:5" x14ac:dyDescent="0.25">
      <c r="B35" s="11" t="s">
        <v>1200</v>
      </c>
      <c r="C35" s="12" t="s">
        <v>1201</v>
      </c>
      <c r="D35" s="13" t="s">
        <v>1202</v>
      </c>
      <c r="E35" s="14" t="s">
        <v>1249</v>
      </c>
    </row>
    <row r="36" spans="2:5" x14ac:dyDescent="0.25">
      <c r="B36" s="11" t="s">
        <v>1200</v>
      </c>
      <c r="C36" s="12" t="s">
        <v>1204</v>
      </c>
      <c r="D36" s="13" t="s">
        <v>1205</v>
      </c>
      <c r="E36" s="14" t="s">
        <v>1250</v>
      </c>
    </row>
    <row r="37" spans="2:5" x14ac:dyDescent="0.25">
      <c r="B37" s="11" t="s">
        <v>1207</v>
      </c>
      <c r="C37" s="12" t="s">
        <v>1208</v>
      </c>
      <c r="D37" s="13" t="s">
        <v>1251</v>
      </c>
      <c r="E37" s="14" t="s">
        <v>1252</v>
      </c>
    </row>
    <row r="38" spans="2:5" x14ac:dyDescent="0.25">
      <c r="B38" s="11" t="s">
        <v>1207</v>
      </c>
      <c r="C38" s="12" t="s">
        <v>1211</v>
      </c>
      <c r="D38" s="13" t="s">
        <v>1209</v>
      </c>
      <c r="E38" s="15" t="s">
        <v>1253</v>
      </c>
    </row>
    <row r="39" spans="2:5" x14ac:dyDescent="0.25">
      <c r="B39" s="11" t="s">
        <v>1207</v>
      </c>
      <c r="C39" s="12" t="s">
        <v>1208</v>
      </c>
      <c r="D39" s="13" t="s">
        <v>1213</v>
      </c>
      <c r="E39" s="14" t="s">
        <v>1254</v>
      </c>
    </row>
    <row r="40" spans="2:5" x14ac:dyDescent="0.25">
      <c r="B40" s="11" t="s">
        <v>1207</v>
      </c>
      <c r="C40" s="12" t="s">
        <v>1211</v>
      </c>
      <c r="D40" s="13" t="s">
        <v>1213</v>
      </c>
      <c r="E40" s="15" t="s">
        <v>1255</v>
      </c>
    </row>
    <row r="41" spans="2:5" x14ac:dyDescent="0.25">
      <c r="B41" s="16" t="s">
        <v>1188</v>
      </c>
      <c r="C41" s="17" t="s">
        <v>1216</v>
      </c>
      <c r="D41" s="18" t="s">
        <v>1217</v>
      </c>
      <c r="E41" s="19" t="s">
        <v>1256</v>
      </c>
    </row>
    <row r="42" spans="2:5" x14ac:dyDescent="0.25">
      <c r="B42" s="16" t="s">
        <v>1188</v>
      </c>
      <c r="C42" s="17" t="s">
        <v>1257</v>
      </c>
      <c r="D42" s="18" t="s">
        <v>1217</v>
      </c>
      <c r="E42" s="19" t="s">
        <v>1258</v>
      </c>
    </row>
    <row r="43" spans="2:5" x14ac:dyDescent="0.25">
      <c r="B43" s="16" t="s">
        <v>1188</v>
      </c>
      <c r="C43" s="17" t="s">
        <v>1221</v>
      </c>
      <c r="D43" s="18" t="s">
        <v>1217</v>
      </c>
      <c r="E43" s="19" t="s">
        <v>1259</v>
      </c>
    </row>
    <row r="44" spans="2:5" x14ac:dyDescent="0.25">
      <c r="B44" s="16" t="s">
        <v>1188</v>
      </c>
      <c r="C44" s="17" t="s">
        <v>1260</v>
      </c>
      <c r="D44" s="18" t="s">
        <v>1217</v>
      </c>
      <c r="E44" s="19" t="s">
        <v>1261</v>
      </c>
    </row>
    <row r="45" spans="2:5" x14ac:dyDescent="0.25">
      <c r="B45" s="16" t="s">
        <v>1188</v>
      </c>
      <c r="C45" s="17" t="s">
        <v>1216</v>
      </c>
      <c r="D45" s="18" t="s">
        <v>1225</v>
      </c>
      <c r="E45" s="19" t="s">
        <v>1262</v>
      </c>
    </row>
    <row r="46" spans="2:5" x14ac:dyDescent="0.25">
      <c r="B46" s="16" t="s">
        <v>1188</v>
      </c>
      <c r="C46" s="17" t="s">
        <v>1257</v>
      </c>
      <c r="D46" s="18" t="s">
        <v>1225</v>
      </c>
      <c r="E46" s="19" t="s">
        <v>1263</v>
      </c>
    </row>
    <row r="47" spans="2:5" x14ac:dyDescent="0.25">
      <c r="B47" s="16" t="s">
        <v>1188</v>
      </c>
      <c r="C47" s="17" t="s">
        <v>1221</v>
      </c>
      <c r="D47" s="18" t="s">
        <v>1225</v>
      </c>
      <c r="E47" s="19" t="s">
        <v>1264</v>
      </c>
    </row>
    <row r="48" spans="2:5" x14ac:dyDescent="0.25">
      <c r="B48" s="16" t="s">
        <v>1188</v>
      </c>
      <c r="C48" s="17" t="s">
        <v>1260</v>
      </c>
      <c r="D48" s="18" t="s">
        <v>1225</v>
      </c>
      <c r="E48" s="19" t="s">
        <v>1265</v>
      </c>
    </row>
    <row r="49" spans="2:5" x14ac:dyDescent="0.25">
      <c r="B49" s="16" t="s">
        <v>1200</v>
      </c>
      <c r="C49" s="17" t="s">
        <v>1230</v>
      </c>
      <c r="D49" s="18" t="s">
        <v>1231</v>
      </c>
      <c r="E49" s="21" t="s">
        <v>1266</v>
      </c>
    </row>
    <row r="50" spans="2:5" x14ac:dyDescent="0.25">
      <c r="B50" s="16" t="s">
        <v>1200</v>
      </c>
      <c r="C50" s="17" t="s">
        <v>1230</v>
      </c>
      <c r="D50" s="18" t="s">
        <v>1233</v>
      </c>
      <c r="E50" s="21" t="s">
        <v>1267</v>
      </c>
    </row>
    <row r="51" spans="2:5" x14ac:dyDescent="0.25">
      <c r="B51" s="16" t="s">
        <v>1207</v>
      </c>
      <c r="C51" s="17" t="s">
        <v>1235</v>
      </c>
      <c r="D51" s="18" t="s">
        <v>1236</v>
      </c>
      <c r="E51" s="21" t="s">
        <v>1268</v>
      </c>
    </row>
    <row r="52" spans="2:5" x14ac:dyDescent="0.25">
      <c r="B52" s="16" t="s">
        <v>1207</v>
      </c>
      <c r="C52" s="17" t="s">
        <v>1238</v>
      </c>
      <c r="D52" s="18" t="s">
        <v>1236</v>
      </c>
      <c r="E52" s="19" t="s">
        <v>1269</v>
      </c>
    </row>
    <row r="53" spans="2:5" x14ac:dyDescent="0.25">
      <c r="B53" s="16" t="s">
        <v>1207</v>
      </c>
      <c r="C53" s="17" t="s">
        <v>1235</v>
      </c>
      <c r="D53" s="18" t="s">
        <v>1240</v>
      </c>
      <c r="E53" s="21" t="s">
        <v>1270</v>
      </c>
    </row>
    <row r="54" spans="2:5" x14ac:dyDescent="0.25">
      <c r="B54" s="16" t="s">
        <v>1207</v>
      </c>
      <c r="C54" s="17" t="s">
        <v>1238</v>
      </c>
      <c r="D54" s="18" t="s">
        <v>1240</v>
      </c>
      <c r="E54" s="19" t="s">
        <v>1272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 Seok Kim</cp:lastModifiedBy>
  <dcterms:modified xsi:type="dcterms:W3CDTF">2026-02-08T15:15:38Z</dcterms:modified>
</cp:coreProperties>
</file>