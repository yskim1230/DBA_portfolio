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업무\AIDT\"/>
    </mc:Choice>
  </mc:AlternateContent>
  <bookViews>
    <workbookView xWindow="0" yWindow="0" windowWidth="29340" windowHeight="13404" activeTab="4"/>
  </bookViews>
  <sheets>
    <sheet name="0411" sheetId="5" r:id="rId1"/>
    <sheet name="계정정보" sheetId="6" r:id="rId2"/>
    <sheet name=" lms prd mysql jdbc 현황" sheetId="3" r:id="rId3"/>
    <sheet name="통합안_20250908_1차" sheetId="10" r:id="rId4"/>
    <sheet name="Sheet1" sheetId="4" r:id="rId5"/>
    <sheet name="Sheet3" sheetId="8" r:id="rId6"/>
    <sheet name="기타DB" sheetId="9" r:id="rId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6" i="8" l="1"/>
  <c r="E2" i="8"/>
  <c r="E3" i="8"/>
  <c r="E4" i="8"/>
  <c r="E5" i="8"/>
  <c r="E6" i="8"/>
  <c r="I6" i="8"/>
  <c r="A2" i="8"/>
  <c r="A3" i="8"/>
  <c r="A4" i="8"/>
  <c r="A5" i="8"/>
  <c r="I2" i="8"/>
  <c r="I3" i="8"/>
  <c r="I4" i="8"/>
  <c r="I5" i="8"/>
  <c r="I1" i="8"/>
  <c r="E1" i="8"/>
  <c r="A1" i="8" s="1"/>
  <c r="L37" i="5" l="1"/>
  <c r="L13" i="5"/>
  <c r="L35" i="5"/>
  <c r="L36" i="5"/>
  <c r="L38" i="5"/>
  <c r="L39" i="5"/>
  <c r="L40" i="5"/>
  <c r="L41" i="5"/>
  <c r="L42" i="5"/>
  <c r="L47" i="5"/>
  <c r="L48" i="5"/>
  <c r="L49" i="5"/>
  <c r="L50" i="5"/>
  <c r="L51" i="5"/>
  <c r="L52" i="5"/>
  <c r="L53" i="5"/>
  <c r="L54" i="5"/>
  <c r="L55" i="5"/>
  <c r="L56" i="5"/>
  <c r="L8" i="5"/>
  <c r="L9" i="5"/>
  <c r="L10" i="5"/>
  <c r="L11" i="5"/>
  <c r="L12" i="5"/>
  <c r="L14" i="5"/>
  <c r="L19" i="5"/>
  <c r="L20" i="5"/>
  <c r="L21" i="5"/>
  <c r="L22" i="5"/>
  <c r="L23" i="5"/>
  <c r="L24" i="5"/>
  <c r="L25" i="5"/>
  <c r="L26" i="5"/>
  <c r="L27" i="5"/>
  <c r="L28" i="5"/>
  <c r="L7" i="5"/>
  <c r="J35" i="4" l="1"/>
  <c r="J36" i="4"/>
  <c r="J37" i="4"/>
  <c r="J38" i="4"/>
  <c r="J39" i="4"/>
  <c r="J40" i="4"/>
  <c r="J41" i="4"/>
  <c r="J42" i="4"/>
  <c r="J43" i="4"/>
  <c r="J44" i="4"/>
  <c r="J45" i="4"/>
  <c r="J46" i="4"/>
  <c r="J47" i="4"/>
  <c r="J48" i="4"/>
  <c r="J49" i="4"/>
  <c r="J50" i="4"/>
  <c r="J51" i="4"/>
  <c r="J52" i="4"/>
  <c r="J53" i="4"/>
  <c r="J54" i="4"/>
  <c r="J55" i="4"/>
  <c r="J56" i="4"/>
  <c r="J57" i="4"/>
  <c r="J58" i="4"/>
  <c r="J59" i="4"/>
  <c r="J3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4" i="4"/>
  <c r="L42" i="3" l="1"/>
  <c r="L43" i="3"/>
  <c r="L44" i="3"/>
  <c r="L45" i="3"/>
  <c r="L46" i="3"/>
  <c r="L47" i="3"/>
  <c r="L48" i="3"/>
  <c r="L49" i="3"/>
  <c r="L50" i="3"/>
  <c r="L51" i="3"/>
  <c r="L52" i="3"/>
  <c r="L53" i="3"/>
  <c r="L54" i="3"/>
  <c r="L55" i="3"/>
  <c r="L56" i="3"/>
  <c r="L57" i="3"/>
  <c r="L58" i="3"/>
  <c r="L59" i="3"/>
  <c r="L60" i="3"/>
  <c r="L61" i="3"/>
  <c r="L62" i="3"/>
  <c r="L63" i="3"/>
  <c r="L64" i="3"/>
  <c r="L65" i="3"/>
  <c r="L66" i="3"/>
  <c r="L41" i="3"/>
</calcChain>
</file>

<file path=xl/sharedStrings.xml><?xml version="1.0" encoding="utf-8"?>
<sst xmlns="http://schemas.openxmlformats.org/spreadsheetml/2006/main" count="2212" uniqueCount="770">
  <si>
    <t>학교급</t>
  </si>
  <si>
    <t>교과서 명</t>
  </si>
  <si>
    <t>저자</t>
  </si>
  <si>
    <t>초등</t>
  </si>
  <si>
    <t>영어 3</t>
  </si>
  <si>
    <t>이동환</t>
  </si>
  <si>
    <t>영어 4</t>
  </si>
  <si>
    <t>김태은</t>
  </si>
  <si>
    <t>함순애</t>
  </si>
  <si>
    <t>중학</t>
  </si>
  <si>
    <t>영어</t>
  </si>
  <si>
    <t>이상기</t>
  </si>
  <si>
    <t>영어 </t>
  </si>
  <si>
    <t>소영순</t>
  </si>
  <si>
    <t>고등</t>
  </si>
  <si>
    <t>공통영어 1</t>
  </si>
  <si>
    <t>강상구</t>
  </si>
  <si>
    <t>공통영어 2</t>
  </si>
  <si>
    <t>조수경</t>
  </si>
  <si>
    <t>박만구</t>
  </si>
  <si>
    <t>수학 3-2</t>
  </si>
  <si>
    <t>수학 4-2</t>
  </si>
  <si>
    <t>한대희</t>
  </si>
  <si>
    <t>수학</t>
  </si>
  <si>
    <t>김동재</t>
  </si>
  <si>
    <t>김화경</t>
  </si>
  <si>
    <t>공통수학1</t>
  </si>
  <si>
    <t>전인태</t>
  </si>
  <si>
    <t>공통수학2</t>
  </si>
  <si>
    <t>홍진곤</t>
  </si>
  <si>
    <t>DB Service Name</t>
    <phoneticPr fontId="3" type="noConversion"/>
  </si>
  <si>
    <t>lms-prd-myd-ene34l101-lm</t>
    <phoneticPr fontId="3" type="noConversion"/>
  </si>
  <si>
    <t>lms-prd-myd-01-lm</t>
    <phoneticPr fontId="3" type="noConversion"/>
  </si>
  <si>
    <t>db-2nmn5-kr1.vpc-cdb.gov-ntruss.com</t>
    <phoneticPr fontId="3" type="noConversion"/>
  </si>
  <si>
    <t>lms-prd-myd-ene34l1011-lm</t>
    <phoneticPr fontId="3" type="noConversion"/>
  </si>
  <si>
    <t>lms-prd-myd-014-lm</t>
    <phoneticPr fontId="3" type="noConversion"/>
  </si>
  <si>
    <t>db-308ufr-kr1.vpc-cdb.gov-ntruss.com</t>
    <phoneticPr fontId="3" type="noConversion"/>
  </si>
  <si>
    <t>lms-prd-myd-ene34k302-lm</t>
    <phoneticPr fontId="3" type="noConversion"/>
  </si>
  <si>
    <t>lms-prd-myd-02-lm</t>
    <phoneticPr fontId="3" type="noConversion"/>
  </si>
  <si>
    <t>db-2o1ai-kr1.vpc-cdb.gov-ntruss.com</t>
    <phoneticPr fontId="3" type="noConversion"/>
  </si>
  <si>
    <t>lms-prd-myd-ene34k3021-lm</t>
    <phoneticPr fontId="3" type="noConversion"/>
  </si>
  <si>
    <t>lms-prd-myd-015-lm</t>
    <phoneticPr fontId="3" type="noConversion"/>
  </si>
  <si>
    <t>db-308ugs-kr1.vpc-cdb.gov-ntruss.com</t>
    <phoneticPr fontId="3" type="noConversion"/>
  </si>
  <si>
    <t>lms-prd-myd-03-lm</t>
    <phoneticPr fontId="3" type="noConversion"/>
  </si>
  <si>
    <t>db-2nmqc-kr1.vpc-cdb.gov-ntruss.com</t>
    <phoneticPr fontId="3" type="noConversion"/>
  </si>
  <si>
    <t>lms-prd-myd-ene34h2031-lm</t>
    <phoneticPr fontId="3" type="noConversion"/>
  </si>
  <si>
    <t>lms-prd-myd-016-lm</t>
    <phoneticPr fontId="3" type="noConversion"/>
  </si>
  <si>
    <t>lms-prd-myd-enm01l204-lm</t>
    <phoneticPr fontId="3" type="noConversion"/>
  </si>
  <si>
    <t>lms-prd-myd-04-lm</t>
    <phoneticPr fontId="3" type="noConversion"/>
  </si>
  <si>
    <t>db-2nms0-kr1.vpc-cdb.gov-ntruss.com</t>
    <phoneticPr fontId="3" type="noConversion"/>
  </si>
  <si>
    <t>lms-prd-myd-enm01s105-lm</t>
    <phoneticPr fontId="3" type="noConversion"/>
  </si>
  <si>
    <t>lms-prd-myd-05-lm</t>
    <phoneticPr fontId="3" type="noConversion"/>
  </si>
  <si>
    <t>db-2nmtt-kr1.vpc-cdb.gov-ntruss.com</t>
    <phoneticPr fontId="3" type="noConversion"/>
  </si>
  <si>
    <t>lms-prd-myd-06-lm</t>
    <phoneticPr fontId="3" type="noConversion"/>
  </si>
  <si>
    <t>db-2nmv1-kr1.vpc-cdb.gov-ntruss.com</t>
    <phoneticPr fontId="3" type="noConversion"/>
  </si>
  <si>
    <t>lms-prd-myd-enh12k1061-lm</t>
    <phoneticPr fontId="3" type="noConversion"/>
  </si>
  <si>
    <t>lms-prd-myd-017-lm</t>
    <phoneticPr fontId="3" type="noConversion"/>
  </si>
  <si>
    <t>lms-prd-myd-07-lm</t>
    <phoneticPr fontId="3" type="noConversion"/>
  </si>
  <si>
    <t>db-2nn03-kr1.vpc-cdb.gov-ntruss.com</t>
    <phoneticPr fontId="3" type="noConversion"/>
  </si>
  <si>
    <t>lms-prd-myd-enh12j2071-lm</t>
    <phoneticPr fontId="3" type="noConversion"/>
  </si>
  <si>
    <t>lms-prd-myd-018-lm</t>
    <phoneticPr fontId="3" type="noConversion"/>
  </si>
  <si>
    <t>db-308ukf-kr1.vpc-cdb.gov-ntruss.com</t>
    <phoneticPr fontId="3" type="noConversion"/>
  </si>
  <si>
    <t>lms-prd-myd-08-lm</t>
    <phoneticPr fontId="3" type="noConversion"/>
  </si>
  <si>
    <t>lms-prd-myd-019-lm</t>
    <phoneticPr fontId="3" type="noConversion"/>
  </si>
  <si>
    <t>db-308ulb-kr1.vpc-cdb.gov-ntruss.com</t>
    <phoneticPr fontId="3" type="noConversion"/>
  </si>
  <si>
    <t>lms-prd-myd-mae34h109-lm</t>
    <phoneticPr fontId="3" type="noConversion"/>
  </si>
  <si>
    <t>lms-prd-myd-09-lm</t>
    <phoneticPr fontId="3" type="noConversion"/>
  </si>
  <si>
    <t>db-2nn2b-kr1.vpc-cdb.gov-ntruss.com</t>
    <phoneticPr fontId="3" type="noConversion"/>
  </si>
  <si>
    <t>lms-prd-myd-mae34h1091-lm</t>
    <phoneticPr fontId="3" type="noConversion"/>
  </si>
  <si>
    <t>db-308ult-kr1.vpc-cdb.gov-ntruss.com</t>
    <phoneticPr fontId="3" type="noConversion"/>
  </si>
  <si>
    <t>lms-prd-myd-10-lm</t>
    <phoneticPr fontId="3" type="noConversion"/>
  </si>
  <si>
    <t>db-2nn3k-kr1.vpc-cdb.gov-ntruss.com</t>
    <phoneticPr fontId="3" type="noConversion"/>
  </si>
  <si>
    <t>lms-prd-myd-11-lm</t>
    <phoneticPr fontId="3" type="noConversion"/>
  </si>
  <si>
    <t>db-2nn4q-kr1.vpc-cdb.gov-ntruss.com</t>
    <phoneticPr fontId="3" type="noConversion"/>
  </si>
  <si>
    <t>lms-prd-myd-12-lm</t>
    <phoneticPr fontId="3" type="noConversion"/>
  </si>
  <si>
    <t>db-2nn5k-kr1.vpc-cdb.gov-ntruss.com</t>
    <phoneticPr fontId="3" type="noConversion"/>
  </si>
  <si>
    <t>lms-prd-myd-021-lm</t>
    <phoneticPr fontId="3" type="noConversion"/>
  </si>
  <si>
    <t>lms-prd-myd-mah01h313-lm</t>
    <phoneticPr fontId="3" type="noConversion"/>
  </si>
  <si>
    <t>lms-prd-myd-13-lm</t>
    <phoneticPr fontId="3" type="noConversion"/>
  </si>
  <si>
    <t>db-2nn6o-kr1.vpc-cdb.gov-ntruss.com</t>
    <phoneticPr fontId="3" type="noConversion"/>
  </si>
  <si>
    <t>lms-prd-myd-mah01h3131-lm</t>
    <phoneticPr fontId="3" type="noConversion"/>
  </si>
  <si>
    <t>lms-prd-myd-022-lm</t>
    <phoneticPr fontId="3" type="noConversion"/>
  </si>
  <si>
    <t>LMS PRD LM DB 현황</t>
  </si>
  <si>
    <t>lms-prd-myd-ene34l101-lw</t>
    <phoneticPr fontId="3" type="noConversion"/>
  </si>
  <si>
    <t>lms-prd-myd-01-lw</t>
    <phoneticPr fontId="3" type="noConversion"/>
  </si>
  <si>
    <t>db-2nmrj-kr1.vpc-cdb.gov-ntruss.com</t>
    <phoneticPr fontId="3" type="noConversion"/>
  </si>
  <si>
    <t>lms-prd-myd-ene34l1011-lw</t>
    <phoneticPr fontId="3" type="noConversion"/>
  </si>
  <si>
    <t>lms-prd-myd-014-lw</t>
    <phoneticPr fontId="3" type="noConversion"/>
  </si>
  <si>
    <t>lms-prd-myd-ene34k302-lw</t>
    <phoneticPr fontId="3" type="noConversion"/>
  </si>
  <si>
    <t>lms-prd-myd-02-lw</t>
    <phoneticPr fontId="3" type="noConversion"/>
  </si>
  <si>
    <t>db-2o1a4-kr1.vpc-cdb.gov-ntruss.com</t>
    <phoneticPr fontId="3" type="noConversion"/>
  </si>
  <si>
    <t>lms-prd-myd-ene34k3021-lw</t>
    <phoneticPr fontId="3" type="noConversion"/>
  </si>
  <si>
    <t>lms-prd-myd-015-lw</t>
    <phoneticPr fontId="3" type="noConversion"/>
  </si>
  <si>
    <t>db-308uo0-kr1.vpc-cdb.gov-ntruss.com</t>
    <phoneticPr fontId="3" type="noConversion"/>
  </si>
  <si>
    <t>lms-prd-myd-ene34h203-lw</t>
    <phoneticPr fontId="3" type="noConversion"/>
  </si>
  <si>
    <t>lms-prd-myd-03-lw</t>
    <phoneticPr fontId="3" type="noConversion"/>
  </si>
  <si>
    <t>db-2nmpr-kr1.vpc-cdb.gov-ntruss.com</t>
    <phoneticPr fontId="3" type="noConversion"/>
  </si>
  <si>
    <t>lms-prd-myd-ene34h2031-lw</t>
    <phoneticPr fontId="3" type="noConversion"/>
  </si>
  <si>
    <t>lms-prd-myd-016-lw</t>
    <phoneticPr fontId="3" type="noConversion"/>
  </si>
  <si>
    <t>db-308uok-kr1.vpc-cdb.gov-ntruss.com</t>
    <phoneticPr fontId="3" type="noConversion"/>
  </si>
  <si>
    <t>lms-prd-myd-enm01l204-lw</t>
    <phoneticPr fontId="3" type="noConversion"/>
  </si>
  <si>
    <t>lms-prd-myd-04-lw</t>
    <phoneticPr fontId="3" type="noConversion"/>
  </si>
  <si>
    <t>db-2nmqs-kr1.vpc-cdb.gov-ntruss.com</t>
    <phoneticPr fontId="3" type="noConversion"/>
  </si>
  <si>
    <t>lms-prd-myd-enm01s105-lw</t>
    <phoneticPr fontId="3" type="noConversion"/>
  </si>
  <si>
    <t>lms-prd-myd-05-lw</t>
    <phoneticPr fontId="3" type="noConversion"/>
  </si>
  <si>
    <t>db-2nmsn-kr1.vpc-cdb.gov-ntruss.com</t>
    <phoneticPr fontId="3" type="noConversion"/>
  </si>
  <si>
    <t>lms-prd-myd-enh12k106-lw</t>
    <phoneticPr fontId="3" type="noConversion"/>
  </si>
  <si>
    <t>lms-prd-myd-06-lw</t>
    <phoneticPr fontId="3" type="noConversion"/>
  </si>
  <si>
    <t>db-2nmue-kr1.vpc-cdb.gov-ntruss.com</t>
    <phoneticPr fontId="3" type="noConversion"/>
  </si>
  <si>
    <t>lms-prd-myd-enh12k1061-lw</t>
    <phoneticPr fontId="3" type="noConversion"/>
  </si>
  <si>
    <t>lms-prd-myd-017-lw</t>
    <phoneticPr fontId="3" type="noConversion"/>
  </si>
  <si>
    <t>lms-prd-myd-enh12j207-lw</t>
    <phoneticPr fontId="3" type="noConversion"/>
  </si>
  <si>
    <t>lms-prd-myd-07-lw</t>
    <phoneticPr fontId="3" type="noConversion"/>
  </si>
  <si>
    <t>db-2nmvf-kr1.vpc-cdb.gov-ntruss.com</t>
    <phoneticPr fontId="3" type="noConversion"/>
  </si>
  <si>
    <t>lms-prd-myd-enh12j2071-lw</t>
    <phoneticPr fontId="3" type="noConversion"/>
  </si>
  <si>
    <t>lms-prd-myd-018-lw</t>
    <phoneticPr fontId="3" type="noConversion"/>
  </si>
  <si>
    <t>lms-prd-myd-mae34p108-lw</t>
    <phoneticPr fontId="3" type="noConversion"/>
  </si>
  <si>
    <t>lms-prd-myd-mae34p1081-lw</t>
    <phoneticPr fontId="3" type="noConversion"/>
  </si>
  <si>
    <t>lms-prd-myd-019-lw</t>
    <phoneticPr fontId="3" type="noConversion"/>
  </si>
  <si>
    <t>lms-prd-myd-09-lw</t>
    <phoneticPr fontId="3" type="noConversion"/>
  </si>
  <si>
    <t>db-2nn1s-kr1.vpc-cdb.gov-ntruss.com</t>
    <phoneticPr fontId="3" type="noConversion"/>
  </si>
  <si>
    <t>lms-prd-myd-020-lw</t>
    <phoneticPr fontId="3" type="noConversion"/>
  </si>
  <si>
    <t>lms-prd-myd-mam01k210-lw</t>
    <phoneticPr fontId="3" type="noConversion"/>
  </si>
  <si>
    <t>lms-prd-myd-10-lw</t>
    <phoneticPr fontId="3" type="noConversion"/>
  </si>
  <si>
    <t>db-2nn37-kr1.vpc-cdb.gov-ntruss.com</t>
    <phoneticPr fontId="3" type="noConversion"/>
  </si>
  <si>
    <t>lms-prd-myd-mam01k511-lw</t>
    <phoneticPr fontId="3" type="noConversion"/>
  </si>
  <si>
    <t>lms-prd-myd-11-lw</t>
    <phoneticPr fontId="3" type="noConversion"/>
  </si>
  <si>
    <t>lms-prd-myd-mah01j112-lw</t>
    <phoneticPr fontId="3" type="noConversion"/>
  </si>
  <si>
    <t>lms-prd-myd-12-lw</t>
    <phoneticPr fontId="3" type="noConversion"/>
  </si>
  <si>
    <t>db-2nn57-kr1.vpc-cdb.gov-ntruss.com</t>
    <phoneticPr fontId="3" type="noConversion"/>
  </si>
  <si>
    <t>lms-prd-myd-mah01j1121-lw</t>
    <phoneticPr fontId="3" type="noConversion"/>
  </si>
  <si>
    <t>lms-prd-myd-021-lw</t>
    <phoneticPr fontId="3" type="noConversion"/>
  </si>
  <si>
    <t>lms-prd-myd-mah01h313-lw</t>
    <phoneticPr fontId="3" type="noConversion"/>
  </si>
  <si>
    <t>lms-prd-myd-13-lw</t>
    <phoneticPr fontId="3" type="noConversion"/>
  </si>
  <si>
    <t>db-2nn6b-kr1.vpc-cdb.gov-ntruss.com</t>
    <phoneticPr fontId="3" type="noConversion"/>
  </si>
  <si>
    <t>lms-prd-myd-mah01h3131-lw</t>
    <phoneticPr fontId="3" type="noConversion"/>
  </si>
  <si>
    <t>lms-prd-myd-022-lw</t>
    <phoneticPr fontId="3" type="noConversion"/>
  </si>
  <si>
    <t>서버</t>
    <phoneticPr fontId="3" type="noConversion"/>
  </si>
  <si>
    <t>jdbc-url</t>
    <phoneticPr fontId="3" type="noConversion"/>
  </si>
  <si>
    <t>KERIS 검증용 도메인</t>
    <phoneticPr fontId="3" type="noConversion"/>
  </si>
  <si>
    <t>username</t>
    <phoneticPr fontId="3" type="noConversion"/>
  </si>
  <si>
    <t>password</t>
    <phoneticPr fontId="3" type="noConversion"/>
  </si>
  <si>
    <t>DB 호스트명</t>
    <phoneticPr fontId="3" type="noConversion"/>
  </si>
  <si>
    <t>접속 도메인</t>
    <phoneticPr fontId="3" type="noConversion"/>
  </si>
  <si>
    <t>e4engl0sl1.aitextbook.co.kr</t>
  </si>
  <si>
    <t>e3engl0sk3.aitextbook.co.kr</t>
  </si>
  <si>
    <t>e4engl0sk3.aitextbook.co.kr</t>
  </si>
  <si>
    <t>e3engl0sh2.aitextbook.co.kr</t>
  </si>
  <si>
    <t>e4engl0sh2.aitextbook.co.kr</t>
  </si>
  <si>
    <t>m1engl0sl2.aitextbook.co.kr</t>
  </si>
  <si>
    <t>m1engl0ss1.aitextbook.co.kr</t>
  </si>
  <si>
    <t>h0cen10sk1.aitextbook.co.kr</t>
  </si>
  <si>
    <t>h0cen20sk1.aitextbook.co.kr</t>
  </si>
  <si>
    <t>h0cen10sj2.aitextbook.co.kr</t>
  </si>
  <si>
    <t>h0cen20sj2.aitextbook.co.kr</t>
  </si>
  <si>
    <t>m1math0sk2.aitextbook.co.kr</t>
  </si>
  <si>
    <t>m1math0sk5.aitextbook.co.kr</t>
  </si>
  <si>
    <t>h0cma10sj1.aitextbook.co.kr</t>
  </si>
  <si>
    <t>h0cma20sj1.aitextbook.co.kr</t>
  </si>
  <si>
    <t>h0cma10sh3.aitextbook.co.kr</t>
  </si>
  <si>
    <t>h0cma20sh3.aitextbook.co.kr</t>
  </si>
  <si>
    <t>e3engl0sl1.aitextbook.co.kr</t>
    <phoneticPr fontId="3" type="noConversion"/>
  </si>
  <si>
    <t>e3engl0sl1.aitextbook.co.kr</t>
    <phoneticPr fontId="3" type="noConversion"/>
  </si>
  <si>
    <t>LRM_WAS</t>
    <phoneticPr fontId="3" type="noConversion"/>
  </si>
  <si>
    <t>!ai03%lrdibw</t>
    <phoneticPr fontId="3" type="noConversion"/>
  </si>
  <si>
    <t>e3engl0sk3.aitextbook.co.kr</t>
    <phoneticPr fontId="3" type="noConversion"/>
  </si>
  <si>
    <t>LRW_WAS</t>
    <phoneticPr fontId="3" type="noConversion"/>
  </si>
  <si>
    <t>^fnf!rg82igq</t>
    <phoneticPr fontId="3" type="noConversion"/>
  </si>
  <si>
    <t>e4engl0sl1.aitextbook.co.kr</t>
    <phoneticPr fontId="3" type="noConversion"/>
  </si>
  <si>
    <t>LMS PRD LW DB 현황</t>
    <phoneticPr fontId="3" type="noConversion"/>
  </si>
  <si>
    <t>e3engl0sh2.aitextbook.co.kr</t>
    <phoneticPr fontId="3" type="noConversion"/>
  </si>
  <si>
    <t>jdbc:mysql://db-2nmqc-kr1.vpc-cdb.gov-ntruss.com/LMS_LRM?allowPublicKeyRetrieval=true&amp;useSSL=false</t>
    <phoneticPr fontId="3" type="noConversion"/>
  </si>
  <si>
    <t>m1engl0sl2.aitextbook.co.kr</t>
    <phoneticPr fontId="3" type="noConversion"/>
  </si>
  <si>
    <t>jdbc:mysql://db-2nms0-kr1.vpc-cdb.gov-ntruss.com/LMS_LRM?allowPublicKeyRetrieval=true&amp;useSSL=false</t>
    <phoneticPr fontId="3" type="noConversion"/>
  </si>
  <si>
    <t>jdbc:mysql://db-2nmqs-kr1.vpc-cdb.gov-ntruss.com/LMS_LRW?allowPublicKeyRetrieval=true&amp;useSSL=false</t>
    <phoneticPr fontId="3" type="noConversion"/>
  </si>
  <si>
    <t>m1engl0ss1.aitextbook.co.kr</t>
    <phoneticPr fontId="3" type="noConversion"/>
  </si>
  <si>
    <t>jdbc:mysql://db-2nmtt-kr1.vpc-cdb.gov-ntruss.com/LMS_LRM?allowPublicKeyRetrieval=true&amp;useSSL=false</t>
    <phoneticPr fontId="3" type="noConversion"/>
  </si>
  <si>
    <t>jdbc:mysql://db-2nmsn-kr1.vpc-cdb.gov-ntruss.com/LMS_LRW?allowPublicKeyRetrieval=true&amp;useSSL=false</t>
    <phoneticPr fontId="3" type="noConversion"/>
  </si>
  <si>
    <t>h0cen10sk1.aitextbook.co.kr</t>
    <phoneticPr fontId="3" type="noConversion"/>
  </si>
  <si>
    <t>h0cen10sj2.aitextbook.co.kr</t>
    <phoneticPr fontId="3" type="noConversion"/>
  </si>
  <si>
    <t>jdbc:mysql://db-2nn03-kr1.vpc-cdb.gov-ntruss.com/LMS_LRM?allowPublicKeyRetrieval=true&amp;useSSL=false</t>
    <phoneticPr fontId="3" type="noConversion"/>
  </si>
  <si>
    <t>jdbc:mysql://db-2nmvf-kr1.vpc-cdb.gov-ntruss.com/LMS_LRW?allowPublicKeyRetrieval=true&amp;useSSL=false</t>
    <phoneticPr fontId="3" type="noConversion"/>
  </si>
  <si>
    <t>e3math1sp1.aitextbook.co.kr</t>
    <phoneticPr fontId="3" type="noConversion"/>
  </si>
  <si>
    <t>e3math2sp1.aitextbook.co.kr</t>
    <phoneticPr fontId="3" type="noConversion"/>
  </si>
  <si>
    <t>jdbc:mysql://db-308uq8-kr1.vpc-cdb.gov-ntruss.com/LMS_LRW?allowPublicKeyRetrieval=true&amp;useSSL=false</t>
    <phoneticPr fontId="3" type="noConversion"/>
  </si>
  <si>
    <t>lms-prd-myd-08-lw</t>
    <phoneticPr fontId="3" type="noConversion"/>
  </si>
  <si>
    <t>e4math1sp1.aitextbook.co.kr</t>
    <phoneticPr fontId="3" type="noConversion"/>
  </si>
  <si>
    <t>e3math1sh1.aitextbook.co.kr</t>
    <phoneticPr fontId="3" type="noConversion"/>
  </si>
  <si>
    <t>e4math2sp1.aitextbook.co.kr</t>
    <phoneticPr fontId="3" type="noConversion"/>
  </si>
  <si>
    <t>e3math2sh1.aitextbook.co.kr</t>
    <phoneticPr fontId="3" type="noConversion"/>
  </si>
  <si>
    <t>m1math0sk2.aitextbook.co.kr</t>
    <phoneticPr fontId="3" type="noConversion"/>
  </si>
  <si>
    <t>jdbc:mysql://db-2nn3k-kr1.vpc-cdb.gov-ntruss.com/LMS_LRM?allowPublicKeyRetrieval=true&amp;useSSL=false</t>
    <phoneticPr fontId="3" type="noConversion"/>
  </si>
  <si>
    <t>jdbc:mysql://db-2nn37-kr1.vpc-cdb.gov-ntruss.com/LMS_LRW?allowPublicKeyRetrieval=true&amp;useSSL=false</t>
    <phoneticPr fontId="3" type="noConversion"/>
  </si>
  <si>
    <t>m1math0sk5.aitextbook.co.kr</t>
    <phoneticPr fontId="3" type="noConversion"/>
  </si>
  <si>
    <t>jdbc:mysql://db-2nn4q-kr1.vpc-cdb.gov-ntruss.com/LMS_LRM?allowPublicKeyRetrieval=true&amp;useSSL=false</t>
    <phoneticPr fontId="3" type="noConversion"/>
  </si>
  <si>
    <t>jdbc:mysql://db-2nn4a-kr1.vpc-cdb.gov-ntruss.com/LMS_LRW?allowPublicKeyRetrieval=true&amp;useSSL=false</t>
    <phoneticPr fontId="3" type="noConversion"/>
  </si>
  <si>
    <t>h0cma10sj1.aitextbook.co.kr</t>
    <phoneticPr fontId="3" type="noConversion"/>
  </si>
  <si>
    <t>h0cma10sh3.aitextbook.co.kr</t>
    <phoneticPr fontId="3" type="noConversion"/>
  </si>
  <si>
    <t>jdbc:mysql://db-2nmn5-kr1.vpc-cdb.gov-ntruss.com/LMS_LRM?allowPublicKeyRetrieval=true&amp;useSSL=false</t>
    <phoneticPr fontId="3" type="noConversion"/>
  </si>
  <si>
    <t>jdbc:mysql://db-308ufr-kr1.vpc-cdb.gov-ntruss.com/LMS_LRM?allowPublicKeyRetrieval=true&amp;useSSL=false</t>
    <phoneticPr fontId="3" type="noConversion"/>
  </si>
  <si>
    <t>jdbc:mysql://db-2o1ai-kr1.vpc-cdb.gov-ntruss.com/LMS_LRM?allowPublicKeyRetrieval=true&amp;useSSL=false</t>
    <phoneticPr fontId="3" type="noConversion"/>
  </si>
  <si>
    <t>jdbc:mysql://db-308ugs-kr1.vpc-cdb.gov-ntruss.com/LMS_LRM?allowPublicKeyRetrieval=true&amp;useSSL=false</t>
    <phoneticPr fontId="3" type="noConversion"/>
  </si>
  <si>
    <t>db-308uik-kr1.vpc-cdb.gov-ntruss.com</t>
    <phoneticPr fontId="3" type="noConversion"/>
  </si>
  <si>
    <t>jdbc:mysql://db-308uik-kr1.vpc-cdb.gov-ntruss.com/LMS_LRM?allowPublicKeyRetrieval=true&amp;useSSL=false</t>
    <phoneticPr fontId="3" type="noConversion"/>
  </si>
  <si>
    <t>jdbc:mysql://db-2nmv1-kr1.vpc-cdb.gov-ntruss.com/LMS_LRM?allowPublicKeyRetrieval=true&amp;useSSL=false</t>
    <phoneticPr fontId="3" type="noConversion"/>
  </si>
  <si>
    <t>db-308ujk-kr1.vpc-cdb.gov-ntruss.com</t>
    <phoneticPr fontId="3" type="noConversion"/>
  </si>
  <si>
    <t>jdbc:mysql://db-308ujk-kr1.vpc-cdb.gov-ntruss.com/LMS_LRM?allowPublicKeyRetrieval=true&amp;useSSL=false</t>
    <phoneticPr fontId="3" type="noConversion"/>
  </si>
  <si>
    <t>jdbc:mysql://db-308ukf-kr1.vpc-cdb.gov-ntruss.com/LMS_LRM?allowPublicKeyRetrieval=true&amp;useSSL=false</t>
    <phoneticPr fontId="3" type="noConversion"/>
  </si>
  <si>
    <t>jdbc:mysql://db-2nn1e-kr1.vpc-cdb.gov-ntruss.com/LMS_LRM?allowPublicKeyRetrieval=true&amp;useSSL=false</t>
    <phoneticPr fontId="3" type="noConversion"/>
  </si>
  <si>
    <t>jdbc:mysql://db-308ulb-kr1.vpc-cdb.gov-ntruss.com/LMS_LRM?allowPublicKeyRetrieval=true&amp;useSSL=false</t>
    <phoneticPr fontId="3" type="noConversion"/>
  </si>
  <si>
    <t>jdbc:mysql://db-2nn2b-kr1.vpc-cdb.gov-ntruss.com/LMS_LRM?allowPublicKeyRetrieval=true&amp;useSSL=false</t>
    <phoneticPr fontId="3" type="noConversion"/>
  </si>
  <si>
    <t>jdbc:mysql://db-308ult-kr1.vpc-cdb.gov-ntruss.com/LMS_LRM?allowPublicKeyRetrieval=true&amp;useSSL=false</t>
    <phoneticPr fontId="3" type="noConversion"/>
  </si>
  <si>
    <t>jdbc:mysql://db-2nn5k-kr1.vpc-cdb.gov-ntruss.com/LMS_LRM?allowPublicKeyRetrieval=true&amp;useSSL=false</t>
    <phoneticPr fontId="3" type="noConversion"/>
  </si>
  <si>
    <t>db-308umd-kr1.vpc-cdb.gov-ntruss.com</t>
    <phoneticPr fontId="3" type="noConversion"/>
  </si>
  <si>
    <t>jdbc:mysql://db-308umd-kr1.vpc-cdb.gov-ntruss.com/LMS_LRM?allowPublicKeyRetrieval=true&amp;useSSL=false</t>
    <phoneticPr fontId="3" type="noConversion"/>
  </si>
  <si>
    <t>jdbc:mysql://db-2nn6o-kr1.vpc-cdb.gov-ntruss.com/LMS_LRM?allowPublicKeyRetrieval=true&amp;useSSL=false</t>
    <phoneticPr fontId="3" type="noConversion"/>
  </si>
  <si>
    <t>db-308un0-kr1.vpc-cdb.gov-ntruss.com</t>
    <phoneticPr fontId="3" type="noConversion"/>
  </si>
  <si>
    <t>jdbc:mysql://db-308un0-kr1.vpc-cdb.gov-ntruss.com/LMS_LRM?allowPublicKeyRetrieval=true&amp;useSSL=false</t>
    <phoneticPr fontId="3" type="noConversion"/>
  </si>
  <si>
    <t>jdbc:mysql://db-2nmrj-kr1.vpc-cdb.gov-ntruss.com/LMS_LRW?allowPublicKeyRetrieval=true&amp;useSSL=false</t>
    <phoneticPr fontId="3" type="noConversion"/>
  </si>
  <si>
    <t>db-308unj-kr1.vpc-cdb.gov-ntruss.com</t>
    <phoneticPr fontId="3" type="noConversion"/>
  </si>
  <si>
    <t>jdbc:mysql://db-308unj-kr1.vpc-cdb.gov-ntruss.com/LMS_LRW?allowPublicKeyRetrieval=true&amp;useSSL=false</t>
    <phoneticPr fontId="3" type="noConversion"/>
  </si>
  <si>
    <t>jdbc:mysql://db-2o1a4-kr1.vpc-cdb.gov-ntruss.com/LMS_LRW?allowPublicKeyRetrieval=true&amp;useSSL=false</t>
    <phoneticPr fontId="3" type="noConversion"/>
  </si>
  <si>
    <t>jdbc:mysql://db-308uo0-kr1.vpc-cdb.gov-ntruss.com/LMS_LRW?allowPublicKeyRetrieval=true&amp;useSSL=false</t>
    <phoneticPr fontId="3" type="noConversion"/>
  </si>
  <si>
    <t>jdbc:mysql://db-2nmpr-kr1.vpc-cdb.gov-ntruss.com/LMS_LRW?allowPublicKeyRetrieval=true&amp;useSSL=false</t>
    <phoneticPr fontId="3" type="noConversion"/>
  </si>
  <si>
    <t>jdbc:mysql://db-308uok-kr1.vpc-cdb.gov-ntruss.com/LMS_LRW?allowPublicKeyRetrieval=true&amp;useSSL=false</t>
    <phoneticPr fontId="3" type="noConversion"/>
  </si>
  <si>
    <t>jdbc:mysql://db-2nmue-kr1.vpc-cdb.gov-ntruss.com/LMS_LRW?allowPublicKeyRetrieval=true&amp;useSSL=false</t>
    <phoneticPr fontId="3" type="noConversion"/>
  </si>
  <si>
    <t>db-308up5-kr1.vpc-cdb.gov-ntruss.com</t>
    <phoneticPr fontId="3" type="noConversion"/>
  </si>
  <si>
    <t>jdbc:mysql://db-308up5-kr1.vpc-cdb.gov-ntruss.com/LMS_LRW?allowPublicKeyRetrieval=true&amp;useSSL=false</t>
    <phoneticPr fontId="3" type="noConversion"/>
  </si>
  <si>
    <t>db-308upl-kr1.vpc-cdb.gov-ntruss.com</t>
    <phoneticPr fontId="3" type="noConversion"/>
  </si>
  <si>
    <t>jdbc:mysql://db-308upl-kr1.vpc-cdb.gov-ntruss.com/LMS_LRW?allowPublicKeyRetrieval=true&amp;useSSL=false</t>
    <phoneticPr fontId="3" type="noConversion"/>
  </si>
  <si>
    <t>db-308uq8-kr1.vpc-cdb.gov-ntruss.com</t>
    <phoneticPr fontId="3" type="noConversion"/>
  </si>
  <si>
    <t>jdbc:mysql://db-2nn1s-kr1.vpc-cdb.gov-ntruss.com/LMS_LRW?allowPublicKeyRetrieval=true&amp;useSSL=false</t>
    <phoneticPr fontId="3" type="noConversion"/>
  </si>
  <si>
    <t>db-308urd-kr1.vpc-cdb.gov-ntruss.com</t>
    <phoneticPr fontId="3" type="noConversion"/>
  </si>
  <si>
    <t>jdbc:mysql://db-2nn57-kr1.vpc-cdb.gov-ntruss.com/LMS_LRW?allowPublicKeyRetrieval=true&amp;useSSL=false</t>
    <phoneticPr fontId="3" type="noConversion"/>
  </si>
  <si>
    <t>db-308us7-kr1.vpc-cdb.gov-ntruss.com</t>
    <phoneticPr fontId="3" type="noConversion"/>
  </si>
  <si>
    <t>jdbc:mysql://db-308us7-kr1.vpc-cdb.gov-ntruss.com/LMS_LRW?allowPublicKeyRetrieval=true&amp;useSSL=false</t>
    <phoneticPr fontId="3" type="noConversion"/>
  </si>
  <si>
    <t>jdbc:mysql://db-2nn6b-kr1.vpc-cdb.gov-ntruss.com/LMS_LRW?allowPublicKeyRetrieval=true&amp;useSSL=false</t>
    <phoneticPr fontId="3" type="noConversion"/>
  </si>
  <si>
    <t>db-308usp-kr1.vpc-cdb.gov-ntruss.com</t>
    <phoneticPr fontId="3" type="noConversion"/>
  </si>
  <si>
    <t>jdbc:mysql://db-308usp-kr1.vpc-cdb.gov-ntruss.com/LMS_LRW?allowPublicKeyRetrieval=true&amp;useSSL=false</t>
    <phoneticPr fontId="3" type="noConversion"/>
  </si>
  <si>
    <t>수학 3-1</t>
    <phoneticPr fontId="3" type="noConversion"/>
  </si>
  <si>
    <t>lms-prd-myd-ene34h203-lm</t>
    <phoneticPr fontId="3" type="noConversion"/>
  </si>
  <si>
    <t>lms-prd-myd-enh12k106-lm</t>
    <phoneticPr fontId="3" type="noConversion"/>
  </si>
  <si>
    <t>lms-prd-myd-enh12j207-lm</t>
    <phoneticPr fontId="3" type="noConversion"/>
  </si>
  <si>
    <t>lms-prd-myd-mae34p108-lm</t>
    <phoneticPr fontId="3" type="noConversion"/>
  </si>
  <si>
    <t>lms-prd-myd-mae34p1081-lm</t>
    <phoneticPr fontId="3" type="noConversion"/>
  </si>
  <si>
    <t>lms-prd-myd-mam01k210-lm</t>
    <phoneticPr fontId="3" type="noConversion"/>
  </si>
  <si>
    <t>lms-prd-myd-mam01k511-lm</t>
    <phoneticPr fontId="3" type="noConversion"/>
  </si>
  <si>
    <t>lms-prd-myd-mah01j112-lm</t>
    <phoneticPr fontId="3" type="noConversion"/>
  </si>
  <si>
    <t>lms-prd-myd-mah01j1121-lm</t>
    <phoneticPr fontId="3" type="noConversion"/>
  </si>
  <si>
    <t>db-2nn4a-kr1.vpc-cdb.gov-ntruss.com</t>
    <phoneticPr fontId="3" type="noConversion"/>
  </si>
  <si>
    <t>db-2nn1e-kr1.vpc-cdb.gov-ntruss.com</t>
    <phoneticPr fontId="3" type="noConversion"/>
  </si>
  <si>
    <t>수학 4-1</t>
    <phoneticPr fontId="3" type="noConversion"/>
  </si>
  <si>
    <t>수학 3-1</t>
    <phoneticPr fontId="3" type="noConversion"/>
  </si>
  <si>
    <t>수학 4-1</t>
    <phoneticPr fontId="3" type="noConversion"/>
  </si>
  <si>
    <t>e4math1sh1.aitextbook.co.kr</t>
    <phoneticPr fontId="3" type="noConversion"/>
  </si>
  <si>
    <t>e4math2sh1.aitextbook.co.kr</t>
    <phoneticPr fontId="3" type="noConversion"/>
  </si>
  <si>
    <t>e4math2sh1.aitextbook.co.kr</t>
    <phoneticPr fontId="3" type="noConversion"/>
  </si>
  <si>
    <t>수학 3-2</t>
    <phoneticPr fontId="3" type="noConversion"/>
  </si>
  <si>
    <t>db-2nn0r-kr1.vpc-cdb.gov-ntruss.com</t>
    <phoneticPr fontId="3" type="noConversion"/>
  </si>
  <si>
    <t>e3math1sh1.aitextbook.co.kr</t>
    <phoneticPr fontId="3" type="noConversion"/>
  </si>
  <si>
    <t>lms-prd-myd-mae34h109-lw</t>
    <phoneticPr fontId="3" type="noConversion"/>
  </si>
  <si>
    <t>수학 4-1</t>
    <phoneticPr fontId="3" type="noConversion"/>
  </si>
  <si>
    <t>e4math1sh1.aitextbook.co.kr</t>
    <phoneticPr fontId="3" type="noConversion"/>
  </si>
  <si>
    <t>lms-prd-myd-mae34h1091-lw</t>
    <phoneticPr fontId="3" type="noConversion"/>
  </si>
  <si>
    <t>jdbc:mysql://db-308urd-kr1.vpc-cdb.gov-ntruss.com/LMS_LRW?allowPublicKeyRetrieval=true&amp;useSSL=false</t>
    <phoneticPr fontId="3" type="noConversion"/>
  </si>
  <si>
    <t>lms-prd-myd-mae34p1082-lm</t>
    <phoneticPr fontId="3" type="noConversion"/>
  </si>
  <si>
    <t>lms-prd-myd-023-lm</t>
    <phoneticPr fontId="3" type="noConversion"/>
  </si>
  <si>
    <t>lms-prd-myd-020-lm</t>
    <phoneticPr fontId="3" type="noConversion"/>
  </si>
  <si>
    <t>e3math2sp1.aitextbook.co.kr</t>
    <phoneticPr fontId="3" type="noConversion"/>
  </si>
  <si>
    <t>수학 4-2</t>
    <phoneticPr fontId="3" type="noConversion"/>
  </si>
  <si>
    <t>수학 3-2</t>
    <phoneticPr fontId="3" type="noConversion"/>
  </si>
  <si>
    <t>e3math2sh1.aitextbook.co.kr</t>
    <phoneticPr fontId="3" type="noConversion"/>
  </si>
  <si>
    <t>lms-prd-myd-mae34h1092-lm</t>
    <phoneticPr fontId="3" type="noConversion"/>
  </si>
  <si>
    <t>lms-prd-myd-025-lm</t>
    <phoneticPr fontId="3" type="noConversion"/>
  </si>
  <si>
    <t>db-30fl0u-kr1.vpc-cdb.gov-ntruss.com</t>
    <phoneticPr fontId="3" type="noConversion"/>
  </si>
  <si>
    <t>jdbc:mysql://db-2nn0r-kr1.vpc-cdb.gov-ntruss.com/LMS_LRW?allowPublicKeyRetrieval=true&amp;useSSL=false</t>
    <phoneticPr fontId="3" type="noConversion"/>
  </si>
  <si>
    <t>lms-prd-myd-mae34h1093-lm</t>
    <phoneticPr fontId="3" type="noConversion"/>
  </si>
  <si>
    <t>lms-prd-myd-026-lm</t>
    <phoneticPr fontId="3" type="noConversion"/>
  </si>
  <si>
    <t>lms-prd-myd-mae34p1082-lw</t>
    <phoneticPr fontId="3" type="noConversion"/>
  </si>
  <si>
    <t>lms-prd-myd-023-lw</t>
    <phoneticPr fontId="3" type="noConversion"/>
  </si>
  <si>
    <t>lms-prd-myd-mae34p1083-lw</t>
    <phoneticPr fontId="3" type="noConversion"/>
  </si>
  <si>
    <t xml:space="preserve"> lms-prd-myd-024-lw</t>
    <phoneticPr fontId="3" type="noConversion"/>
  </si>
  <si>
    <t>db-30fl2n-kr1.vpc-cdb.gov-ntruss.com</t>
    <phoneticPr fontId="3" type="noConversion"/>
  </si>
  <si>
    <t>e4math2sp1.aitextbook.co.kr</t>
    <phoneticPr fontId="3" type="noConversion"/>
  </si>
  <si>
    <t>db-30fl3g-kr1.vpc-cdb.gov-ntruss.com</t>
    <phoneticPr fontId="3" type="noConversion"/>
  </si>
  <si>
    <t>db-30fl47-kr1.vpc-cdb.gov-ntruss.com</t>
    <phoneticPr fontId="3" type="noConversion"/>
  </si>
  <si>
    <t>db-30fl4s-kr1.vpc-cdb.gov-ntruss.com</t>
    <phoneticPr fontId="3" type="noConversion"/>
  </si>
  <si>
    <t>jdbc:mysql://db-30fl4s-kr1.vpc-cdb.gov-ntruss.com/LMS_LRW?allowPublicKeyRetrieval=true&amp;useSSL=false</t>
    <phoneticPr fontId="3" type="noConversion"/>
  </si>
  <si>
    <t>lms-prd-myd-mae34h1092-lw</t>
    <phoneticPr fontId="3" type="noConversion"/>
  </si>
  <si>
    <t>lms-prd-myd-025-lw</t>
    <phoneticPr fontId="3" type="noConversion"/>
  </si>
  <si>
    <t>db-30fl9k-kr1.vpc-cdb.gov-ntruss.com</t>
    <phoneticPr fontId="3" type="noConversion"/>
  </si>
  <si>
    <t>lms-prd-myd-mae34h1093-lw</t>
    <phoneticPr fontId="3" type="noConversion"/>
  </si>
  <si>
    <t xml:space="preserve"> lms-prd-myd-026-lw</t>
    <phoneticPr fontId="3" type="noConversion"/>
  </si>
  <si>
    <t>jdbc:mysql://db-30fl0u-kr1.vpc-cdb.gov-ntruss.com/LMS_LRM?allowPublicKeyRetrieval=true&amp;useSSL=false</t>
    <phoneticPr fontId="3" type="noConversion"/>
  </si>
  <si>
    <t>jdbc:mysql://db-30fl47-kr1.vpc-cdb.gov-ntruss.com/LMS_LRW?allowPublicKeyRetrieval=true&amp;useSSL=false</t>
    <phoneticPr fontId="3" type="noConversion"/>
  </si>
  <si>
    <t>db-30fla9-kr1.vpc-cdb.gov-ntruss.com</t>
    <phoneticPr fontId="3" type="noConversion"/>
  </si>
  <si>
    <t>jdbc:mysql://db-30fl2n-kr1.vpc-cdb.gov-ntruss.com/LMS_LRM?allowPublicKeyRetrieval=true&amp;useSSL=false</t>
    <phoneticPr fontId="3" type="noConversion"/>
  </si>
  <si>
    <t>jdbc:mysql://db-30fl9k-kr1.vpc-cdb.gov-ntruss.com/LMS_LRW?allowPublicKeyRetrieval=true&amp;useSSL=false</t>
    <phoneticPr fontId="3" type="noConversion"/>
  </si>
  <si>
    <t>jdbc:mysql://db-30fl3g-kr1.vpc-cdb.gov-ntruss.com/LMS_LRM?allowPublicKeyRetrieval=true&amp;useSSL=false</t>
    <phoneticPr fontId="3" type="noConversion"/>
  </si>
  <si>
    <t>jdbc:mysql://db-30fla9-kr1.vpc-cdb.gov-ntruss.com/LMS_LRW?allowPublicKeyRetrieval=true&amp;useSSL=false</t>
    <phoneticPr fontId="3" type="noConversion"/>
  </si>
  <si>
    <t>lms-prd-myd-mae34p1083-lm</t>
    <phoneticPr fontId="3" type="noConversion"/>
  </si>
  <si>
    <t>lms-prd-myd-024-lm</t>
    <phoneticPr fontId="3" type="noConversion"/>
  </si>
  <si>
    <t xml:space="preserve"> db-30fm83-kr1.vpc-cdb.gov-ntruss.com</t>
    <phoneticPr fontId="3" type="noConversion"/>
  </si>
  <si>
    <t>jdbc:mysql://db-30fm83-kr1.vpc-cdb.gov-ntruss.com/LMS_LRM?allowPublicKeyRetrieval=true&amp;useSSL=false</t>
    <phoneticPr fontId="3" type="noConversion"/>
  </si>
  <si>
    <t>db-2nmrj-kr1.vpc-cdb.gov-ntruss.com</t>
  </si>
  <si>
    <t>db-308unj-kr1.vpc-cdb.gov-ntruss.com</t>
  </si>
  <si>
    <t>db-2o1a4-kr1.vpc-cdb.gov-ntruss.com</t>
  </si>
  <si>
    <t>db-308uo0-kr1.vpc-cdb.gov-ntruss.com</t>
  </si>
  <si>
    <t>db-2nmpr-kr1.vpc-cdb.gov-ntruss.com</t>
    <phoneticPr fontId="3" type="noConversion"/>
  </si>
  <si>
    <t>db-308uok-kr1.vpc-cdb.gov-ntruss.com</t>
    <phoneticPr fontId="3" type="noConversion"/>
  </si>
  <si>
    <t>db-2nmqs-kr1.vpc-cdb.gov-ntruss.com</t>
    <phoneticPr fontId="3" type="noConversion"/>
  </si>
  <si>
    <t>db-2nmsn-kr1.vpc-cdb.gov-ntruss.com</t>
    <phoneticPr fontId="3" type="noConversion"/>
  </si>
  <si>
    <t>db-2nmue-kr1.vpc-cdb.gov-ntruss.com</t>
    <phoneticPr fontId="3" type="noConversion"/>
  </si>
  <si>
    <t>db-308up5-kr1.vpc-cdb.gov-ntruss.com</t>
    <phoneticPr fontId="3" type="noConversion"/>
  </si>
  <si>
    <t>db-2nmvf-kr1.vpc-cdb.gov-ntruss.com</t>
    <phoneticPr fontId="3" type="noConversion"/>
  </si>
  <si>
    <t>db-308upl-kr1.vpc-cdb.gov-ntruss.com</t>
    <phoneticPr fontId="3" type="noConversion"/>
  </si>
  <si>
    <t>db-2nn0r-kr1.vpc-cdb.gov-ntruss.com</t>
    <phoneticPr fontId="3" type="noConversion"/>
  </si>
  <si>
    <t>db-30fl47-kr1.vpc-cdb.gov-ntruss.com</t>
    <phoneticPr fontId="3" type="noConversion"/>
  </si>
  <si>
    <t>db-308uq8-kr1.vpc-cdb.gov-ntruss.com</t>
    <phoneticPr fontId="3" type="noConversion"/>
  </si>
  <si>
    <t>db-30fl4s-kr1.vpc-cdb.gov-ntruss.com</t>
    <phoneticPr fontId="3" type="noConversion"/>
  </si>
  <si>
    <t>db-2nn1s-kr1.vpc-cdb.gov-ntruss.com</t>
    <phoneticPr fontId="3" type="noConversion"/>
  </si>
  <si>
    <t>db-30fl9k-kr1.vpc-cdb.gov-ntruss.com</t>
    <phoneticPr fontId="3" type="noConversion"/>
  </si>
  <si>
    <t>db-308urd-kr1.vpc-cdb.gov-ntruss.com</t>
    <phoneticPr fontId="3" type="noConversion"/>
  </si>
  <si>
    <t>db-30fla9-kr1.vpc-cdb.gov-ntruss.com</t>
    <phoneticPr fontId="3" type="noConversion"/>
  </si>
  <si>
    <t>db-2nn37-kr1.vpc-cdb.gov-ntruss.com</t>
    <phoneticPr fontId="3" type="noConversion"/>
  </si>
  <si>
    <t>db-2nn4a-kr1.vpc-cdb.gov-ntruss.com</t>
    <phoneticPr fontId="3" type="noConversion"/>
  </si>
  <si>
    <t>db-2nn57-kr1.vpc-cdb.gov-ntruss.com</t>
    <phoneticPr fontId="3" type="noConversion"/>
  </si>
  <si>
    <t>db-308us7-kr1.vpc-cdb.gov-ntruss.com</t>
    <phoneticPr fontId="3" type="noConversion"/>
  </si>
  <si>
    <t>db-2nn6b-kr1.vpc-cdb.gov-ntruss.com</t>
    <phoneticPr fontId="3" type="noConversion"/>
  </si>
  <si>
    <t>db-308usp-kr1.vpc-cdb.gov-ntruss.com</t>
    <phoneticPr fontId="3" type="noConversion"/>
  </si>
  <si>
    <t>DB Server 이름</t>
  </si>
  <si>
    <t>Subnet</t>
  </si>
  <si>
    <t>Private 도메인</t>
  </si>
  <si>
    <t xml:space="preserve">prd01    </t>
  </si>
  <si>
    <t>lms-prd-myd-ene34l101-lm</t>
  </si>
  <si>
    <t>lms-prd-myd-01-lm-001-1vh5</t>
  </si>
  <si>
    <t>lms-prd-sub-prv-myd-lm-01</t>
  </si>
  <si>
    <t>db-2nmn5-kr1.vpc-cdb.gov-ntruss.com</t>
  </si>
  <si>
    <t xml:space="preserve">prd01_1  </t>
  </si>
  <si>
    <t>lms-prd-myd-ene34l1011-lm</t>
  </si>
  <si>
    <t>lms-prd-myd-014-lm-001-2wbd</t>
  </si>
  <si>
    <t>db-308ufr-kr1.vpc-cdb.gov-ntruss.com</t>
  </si>
  <si>
    <t xml:space="preserve">prd02    </t>
  </si>
  <si>
    <t>lms-prd-myd-ene34k302-lm</t>
  </si>
  <si>
    <t>lms-prd-myd-02-lm-001-1vp0</t>
  </si>
  <si>
    <t>lms-prd-sub-prv-myd-lm-02</t>
  </si>
  <si>
    <t>db-2o1ai-kr1.vpc-cdb.gov-ntruss.com</t>
  </si>
  <si>
    <t xml:space="preserve">prd02_1  </t>
  </si>
  <si>
    <t>lms-prd-myd-ene34k3021-lm</t>
  </si>
  <si>
    <t>lms-prd-myd-015-lm-001-2wbf</t>
  </si>
  <si>
    <t>db-308ugs-kr1.vpc-cdb.gov-ntruss.com</t>
  </si>
  <si>
    <t xml:space="preserve">prd03    </t>
  </si>
  <si>
    <t>lms-prd-myd-ene34h203-lm</t>
  </si>
  <si>
    <t>lms-prd-myd-03-lm-001-1vhg</t>
  </si>
  <si>
    <t>lms-prd-sub-prv-myd-lm-03</t>
  </si>
  <si>
    <t>db-2nmqc-kr1.vpc-cdb.gov-ntruss.com</t>
  </si>
  <si>
    <t xml:space="preserve">prd03_1  </t>
  </si>
  <si>
    <t>lms-prd-myd-ene34h2031-lm</t>
  </si>
  <si>
    <t>lms-prd-myd-016-lm-001-2wbh</t>
  </si>
  <si>
    <t>db-308uik-kr1.vpc-cdb.gov-ntruss.com</t>
  </si>
  <si>
    <t xml:space="preserve">prd04    </t>
  </si>
  <si>
    <t>lms-prd-myd-enm01l204-lm</t>
  </si>
  <si>
    <t>lms-prd-myd-04-lm-001-1vhm</t>
  </si>
  <si>
    <t>lms-prd-sub-prv-myd-lm-04</t>
  </si>
  <si>
    <t>db-2nms0-kr1.vpc-cdb.gov-ntruss.com</t>
  </si>
  <si>
    <t>중학</t>
    <phoneticPr fontId="17" type="noConversion"/>
  </si>
  <si>
    <t xml:space="preserve">prd05    </t>
  </si>
  <si>
    <t>lms-prd-myd-enm01s105-lm</t>
  </si>
  <si>
    <t>lms-prd-myd-05-lm-001-1vhu</t>
  </si>
  <si>
    <t>lms-prd-sub-prv-myd-lm-05</t>
  </si>
  <si>
    <t>db-2nmtt-kr1.vpc-cdb.gov-ntruss.com</t>
  </si>
  <si>
    <t xml:space="preserve">prd06    </t>
  </si>
  <si>
    <t>lms-prd-myd-enh12k106-lm</t>
  </si>
  <si>
    <t>lms-prd-myd-06-lm-001-1vhy</t>
  </si>
  <si>
    <t>lms-prd-sub-prv-myd-lm-06</t>
  </si>
  <si>
    <t>db-2nmv1-kr1.vpc-cdb.gov-ntruss.com</t>
  </si>
  <si>
    <t xml:space="preserve">prd06_1  </t>
  </si>
  <si>
    <t>lms-prd-myd-enh12k1061-lm</t>
  </si>
  <si>
    <t>lms-prd-myd-017-lm-001-2wbl</t>
  </si>
  <si>
    <t>db-308ujk-kr1.vpc-cdb.gov-ntruss.com</t>
  </si>
  <si>
    <t xml:space="preserve">prd07    </t>
  </si>
  <si>
    <t>lms-prd-myd-enh12j207-lm</t>
  </si>
  <si>
    <t>lms-prd-myd-07-lm-002-1vi3</t>
  </si>
  <si>
    <t>lms-prd-sub-prv-myd-lm-07</t>
  </si>
  <si>
    <t>db-2nn03-kr1.vpc-cdb.gov-ntruss.com</t>
  </si>
  <si>
    <t xml:space="preserve">prd07_1  </t>
  </si>
  <si>
    <t>lms-prd-myd-enh12j2071-lm</t>
  </si>
  <si>
    <t>lms-prd-myd-018-lm-001-2wbo</t>
  </si>
  <si>
    <t>db-308ukf-kr1.vpc-cdb.gov-ntruss.com</t>
  </si>
  <si>
    <t xml:space="preserve">수학 3-1 / </t>
    <phoneticPr fontId="17" type="noConversion"/>
  </si>
  <si>
    <t>lms-prd-myd-mae34p108-lm</t>
  </si>
  <si>
    <t>lms-prd-myd-08-lm-001-1vi6</t>
  </si>
  <si>
    <t>lms-prd-sub-prv-myd-lm-08</t>
  </si>
  <si>
    <t>db-2nn1e-kr1.vpc-cdb.gov-ntruss.com</t>
  </si>
  <si>
    <t>수학 3-2</t>
    <phoneticPr fontId="17" type="noConversion"/>
  </si>
  <si>
    <t xml:space="preserve">수학 4-1 / </t>
    <phoneticPr fontId="17" type="noConversion"/>
  </si>
  <si>
    <t>lms-prd-myd-mae34p1081-lm</t>
  </si>
  <si>
    <t>lms-prd-myd-019-lm-001-2wbq</t>
  </si>
  <si>
    <t>db-308ulb-kr1.vpc-cdb.gov-ntruss.com</t>
  </si>
  <si>
    <t>lms-prd-myd-mae34p1083-lm</t>
    <phoneticPr fontId="3" type="noConversion"/>
  </si>
  <si>
    <t>lms-prd-myd-mae34h109-lm</t>
  </si>
  <si>
    <t>lms-prd-myd-09-lm-001-1via</t>
  </si>
  <si>
    <t>lms-prd-sub-prv-myd-lm-09</t>
  </si>
  <si>
    <t>db-2nn2b-kr1.vpc-cdb.gov-ntruss.com</t>
  </si>
  <si>
    <t>한대희</t>
    <phoneticPr fontId="17" type="noConversion"/>
  </si>
  <si>
    <t>한대희</t>
    <phoneticPr fontId="17" type="noConversion"/>
  </si>
  <si>
    <t>lms-prd-myd-mae34h1091-lm</t>
  </si>
  <si>
    <t>lms-prd-myd-020-lm-001-2wbs</t>
  </si>
  <si>
    <t>db-308ult-kr1.vpc-cdb.gov-ntruss.com</t>
  </si>
  <si>
    <t>한대희</t>
    <phoneticPr fontId="17" type="noConversion"/>
  </si>
  <si>
    <t>prd09_4_2</t>
    <phoneticPr fontId="17" type="noConversion"/>
  </si>
  <si>
    <t xml:space="preserve">prd10    </t>
  </si>
  <si>
    <t>lms-prd-myd-mam01k210-lm</t>
  </si>
  <si>
    <t>lms-prd-myd-10-lm-001-1vie</t>
  </si>
  <si>
    <t>lms-prd-sub-prv-myd-lm-10</t>
  </si>
  <si>
    <t>db-2nn3k-kr1.vpc-cdb.gov-ntruss.com</t>
  </si>
  <si>
    <t xml:space="preserve">prd11    </t>
  </si>
  <si>
    <t>lms-prd-myd-mam01k511-lm</t>
  </si>
  <si>
    <t>lms-prd-myd-11-lm-001-1vii</t>
  </si>
  <si>
    <t>lms-prd-sub-prv-myd-lm-11</t>
  </si>
  <si>
    <t>db-2nn4q-kr1.vpc-cdb.gov-ntruss.com</t>
  </si>
  <si>
    <t xml:space="preserve">prd12    </t>
  </si>
  <si>
    <t>lms-prd-myd-mah01j112-lm</t>
  </si>
  <si>
    <t>lms-prd-myd-12-lm-001-1vim</t>
  </si>
  <si>
    <t>lms-prd-sub-prv-myd-lm-12</t>
  </si>
  <si>
    <t>db-2nn5k-kr1.vpc-cdb.gov-ntruss.com</t>
  </si>
  <si>
    <t xml:space="preserve">prd12_1  </t>
  </si>
  <si>
    <t>lms-prd-myd-mah01j1121-lm</t>
  </si>
  <si>
    <t>lms-prd-myd-021-lm-001-2wbu</t>
  </si>
  <si>
    <t>db-308umd-kr1.vpc-cdb.gov-ntruss.com</t>
  </si>
  <si>
    <t xml:space="preserve">prd13    </t>
  </si>
  <si>
    <t>lms-prd-myd-mah01h313-lm</t>
  </si>
  <si>
    <t>lms-prd-myd-13-lm-002-1vir</t>
  </si>
  <si>
    <t>lms-prd-sub-prv-myd-lm-13</t>
  </si>
  <si>
    <t>db-2nn6o-kr1.vpc-cdb.gov-ntruss.com</t>
  </si>
  <si>
    <t xml:space="preserve">prd13_1  </t>
  </si>
  <si>
    <t>lms-prd-myd-mah01h3131-lm</t>
  </si>
  <si>
    <t>lms-prd-myd-022-lm-001-2wbw</t>
  </si>
  <si>
    <t>db-308un0-kr1.vpc-cdb.gov-ntruss.com</t>
  </si>
  <si>
    <t>LW_DB 서비스 이름</t>
    <phoneticPr fontId="17" type="noConversion"/>
  </si>
  <si>
    <t xml:space="preserve">lrw_prd01   </t>
  </si>
  <si>
    <t>lms-prd-myd-ene34l101-lw</t>
  </si>
  <si>
    <t>lms-prd-myd-01-lw-002-1vhl</t>
  </si>
  <si>
    <t>lms-prd-sub-prv-myd-lw-01</t>
  </si>
  <si>
    <t xml:space="preserve">lrw_prd01_1 </t>
  </si>
  <si>
    <t>lms-prd-myd-ene34l1011-lw</t>
  </si>
  <si>
    <t>lms-prd-myd-014-lw-001-2wby</t>
  </si>
  <si>
    <t xml:space="preserve">lrw_prd02   </t>
  </si>
  <si>
    <t>lms-prd-myd-ene34k302-lw</t>
  </si>
  <si>
    <t>lms-prd-myd-02-lw-001-1voy</t>
  </si>
  <si>
    <t>lms-prd-sub-prv-myd-lw-02</t>
  </si>
  <si>
    <t xml:space="preserve">lrw_prd02_1 </t>
  </si>
  <si>
    <t>lms-prd-myd-ene34k3021-lw</t>
  </si>
  <si>
    <t>lms-prd-myd-015-lw-001-2wc0</t>
  </si>
  <si>
    <t xml:space="preserve">lrw_prd03   </t>
  </si>
  <si>
    <t>lms-prd-myd-ene34h203-lw</t>
  </si>
  <si>
    <t>lms-prd-myd-03-lw-002-1vhf</t>
  </si>
  <si>
    <t>lms-prd-sub-prv-myd-lw-03</t>
  </si>
  <si>
    <t>db-2nmpr-kr1.vpc-cdb.gov-ntruss.com</t>
  </si>
  <si>
    <t xml:space="preserve">lrw_prd03_1 </t>
  </si>
  <si>
    <t>lms-prd-myd-ene34h2031-lw</t>
  </si>
  <si>
    <t>lms-prd-myd-016-lw-001-2wc2</t>
  </si>
  <si>
    <t>db-308uok-kr1.vpc-cdb.gov-ntruss.com</t>
  </si>
  <si>
    <t xml:space="preserve">lrw_prd04   </t>
  </si>
  <si>
    <t>lms-prd-myd-enm01l204-lw</t>
  </si>
  <si>
    <t>lms-prd-myd-04-lw-001-1vhi</t>
  </si>
  <si>
    <t>lms-prd-sub-prv-myd-lw-04</t>
  </si>
  <si>
    <t>db-2nmqs-kr1.vpc-cdb.gov-ntruss.com</t>
  </si>
  <si>
    <t>영어</t>
    <phoneticPr fontId="17" type="noConversion"/>
  </si>
  <si>
    <t xml:space="preserve">lrw_prd05   </t>
  </si>
  <si>
    <t>lms-prd-myd-enm01s105-lw</t>
  </si>
  <si>
    <t>lms-prd-myd-05-lw-002-1vhp</t>
  </si>
  <si>
    <t>lms-prd-sub-prv-myd-lw-05</t>
  </si>
  <si>
    <t>db-2nmsn-kr1.vpc-cdb.gov-ntruss.com</t>
  </si>
  <si>
    <t xml:space="preserve">lrw_prd06   </t>
  </si>
  <si>
    <t>lms-prd-myd-enh12k106-lw</t>
  </si>
  <si>
    <t>lms-prd-myd-06-lw-002-1vhx</t>
  </si>
  <si>
    <t>lms-prd-sub-prv-myd-lw-06</t>
  </si>
  <si>
    <t>db-2nmue-kr1.vpc-cdb.gov-ntruss.com</t>
  </si>
  <si>
    <t xml:space="preserve">lrw_prd06_1 </t>
  </si>
  <si>
    <t>lms-prd-myd-enh12k1061-lw</t>
  </si>
  <si>
    <t>lms-prd-myd-017-lw-001-2wc4</t>
  </si>
  <si>
    <t>db-308up5-kr1.vpc-cdb.gov-ntruss.com</t>
  </si>
  <si>
    <t xml:space="preserve">lrw_prd07   </t>
  </si>
  <si>
    <t>lms-prd-myd-enh12j207-lw</t>
  </si>
  <si>
    <t>lms-prd-myd-07-lw-001-1vi0</t>
  </si>
  <si>
    <t>lms-prd-sub-prv-myd-lw-07</t>
  </si>
  <si>
    <t>db-2nmvf-kr1.vpc-cdb.gov-ntruss.com</t>
  </si>
  <si>
    <t xml:space="preserve">lrw_prd07_1 </t>
  </si>
  <si>
    <t>lms-prd-myd-enh12j2071-lw</t>
  </si>
  <si>
    <t>lms-prd-myd-018-lw-001-2wc6</t>
  </si>
  <si>
    <t>db-308upl-kr1.vpc-cdb.gov-ntruss.com</t>
  </si>
  <si>
    <t>박만구</t>
    <phoneticPr fontId="17" type="noConversion"/>
  </si>
  <si>
    <t xml:space="preserve">lrw_prd08_3_1  </t>
    <phoneticPr fontId="17" type="noConversion"/>
  </si>
  <si>
    <t>lms-prd-myd-mae34p108-lw</t>
  </si>
  <si>
    <t>lms-prd-myd-08-lw-001-1vi4</t>
  </si>
  <si>
    <t>lms-prd-sub-prv-myd-lw-08</t>
  </si>
  <si>
    <t>db-2nn0r-kr1.vpc-cdb.gov-ntruss.com</t>
  </si>
  <si>
    <t xml:space="preserve">수학 4-1 / </t>
    <phoneticPr fontId="17" type="noConversion"/>
  </si>
  <si>
    <t>lms-prd-myd-mae34p1081-lw</t>
  </si>
  <si>
    <t>lms-prd-myd-019-lw-001-2wc8</t>
  </si>
  <si>
    <t>db-308uq8-kr1.vpc-cdb.gov-ntruss.com</t>
  </si>
  <si>
    <t>수학 4-2</t>
    <phoneticPr fontId="17" type="noConversion"/>
  </si>
  <si>
    <t>lrw_prd08_4_2</t>
    <phoneticPr fontId="17" type="noConversion"/>
  </si>
  <si>
    <t>lrw_prd09_3_1</t>
    <phoneticPr fontId="17" type="noConversion"/>
  </si>
  <si>
    <t>lms-prd-myd-mae34h109-lw</t>
  </si>
  <si>
    <t>lms-prd-myd-09-lw-002-1vi9</t>
  </si>
  <si>
    <t>lms-prd-sub-prv-myd-lw-09</t>
  </si>
  <si>
    <t>db-2nn1s-kr1.vpc-cdb.gov-ntruss.com</t>
  </si>
  <si>
    <t>수학 3-2</t>
    <phoneticPr fontId="17" type="noConversion"/>
  </si>
  <si>
    <t>lrw_prd09_3_2</t>
    <phoneticPr fontId="17" type="noConversion"/>
  </si>
  <si>
    <t>lms-prd-myd-025-lw</t>
    <phoneticPr fontId="3" type="noConversion"/>
  </si>
  <si>
    <t>db-30fl9k-kr1.vpc-cdb.gov-ntruss.com</t>
    <phoneticPr fontId="17" type="noConversion"/>
  </si>
  <si>
    <t>lms-prd-myd-mae34h1091-lw</t>
  </si>
  <si>
    <t>lms-prd-myd-020-lw-001-2wcc</t>
  </si>
  <si>
    <t>db-308urd-kr1.vpc-cdb.gov-ntruss.com</t>
  </si>
  <si>
    <t>lms-prd-myd-mae34h1093-lw</t>
    <phoneticPr fontId="3" type="noConversion"/>
  </si>
  <si>
    <t xml:space="preserve"> lms-prd-myd-026-lw</t>
    <phoneticPr fontId="3" type="noConversion"/>
  </si>
  <si>
    <t>db-30fla9-kr1.vpc-cdb.gov-ntruss.com</t>
    <phoneticPr fontId="17" type="noConversion"/>
  </si>
  <si>
    <t xml:space="preserve">lrw_prd10   </t>
  </si>
  <si>
    <t>lms-prd-myd-mam01k210-lw</t>
  </si>
  <si>
    <t>lms-prd-myd-10-lw-002-1vid</t>
  </si>
  <si>
    <t>lms-prd-sub-prv-myd-lw-10</t>
  </si>
  <si>
    <t>db-2nn37-kr1.vpc-cdb.gov-ntruss.com</t>
  </si>
  <si>
    <t xml:space="preserve">lrw_prd11   </t>
  </si>
  <si>
    <t>lms-prd-myd-mam01k511-lw</t>
  </si>
  <si>
    <t>lms-prd-myd-11-lw-001-1vig</t>
  </si>
  <si>
    <t>lms-prd-sub-prv-myd-lw-11</t>
  </si>
  <si>
    <t>db-2nn4a-kr1.vpc-cdb.gov-ntruss.com</t>
  </si>
  <si>
    <t xml:space="preserve">lrw_prd12   </t>
  </si>
  <si>
    <t>lms-prd-myd-mah01j112-lw</t>
  </si>
  <si>
    <t>lms-prd-myd-12-lw-001-1vik</t>
  </si>
  <si>
    <t>lms-prd-sub-prv-myd-lw-12</t>
  </si>
  <si>
    <t>db-2nn57-kr1.vpc-cdb.gov-ntruss.com</t>
  </si>
  <si>
    <t xml:space="preserve">lrw_prd12_1 </t>
  </si>
  <si>
    <t>lms-prd-myd-mah01j1121-lw</t>
  </si>
  <si>
    <t>lms-prd-myd-021-lw-001-2wcf</t>
  </si>
  <si>
    <t>db-308us7-kr1.vpc-cdb.gov-ntruss.com</t>
  </si>
  <si>
    <t xml:space="preserve">lrw_prd13   </t>
  </si>
  <si>
    <t>lms-prd-myd-mah01h313-lw</t>
  </si>
  <si>
    <t>lms-prd-myd-13-lw-001-1vio</t>
  </si>
  <si>
    <t>lms-prd-sub-prv-myd-lw-13</t>
  </si>
  <si>
    <t>db-2nn6b-kr1.vpc-cdb.gov-ntruss.com</t>
  </si>
  <si>
    <t xml:space="preserve">lrw_prd13_1 </t>
  </si>
  <si>
    <t>lms-prd-myd-mah01h3131-lw</t>
  </si>
  <si>
    <t>lms-prd-myd-022-lw-001-2wch</t>
  </si>
  <si>
    <t>db-308usp-kr1.vpc-cdb.gov-ntruss.com</t>
  </si>
  <si>
    <t>DB alias</t>
    <phoneticPr fontId="17" type="noConversion"/>
  </si>
  <si>
    <t>LM_DB 서비스 이름</t>
    <phoneticPr fontId="17" type="noConversion"/>
  </si>
  <si>
    <t>영어 3</t>
    <phoneticPr fontId="17" type="noConversion"/>
  </si>
  <si>
    <t>영어</t>
    <phoneticPr fontId="17" type="noConversion"/>
  </si>
  <si>
    <t xml:space="preserve">수학 3-1 / </t>
    <phoneticPr fontId="17" type="noConversion"/>
  </si>
  <si>
    <t>prd08_3_1</t>
    <phoneticPr fontId="17" type="noConversion"/>
  </si>
  <si>
    <t>초등</t>
    <phoneticPr fontId="17" type="noConversion"/>
  </si>
  <si>
    <t>prd08_3_2</t>
    <phoneticPr fontId="17" type="noConversion"/>
  </si>
  <si>
    <t>lms-prd-myd-mae34p1082-lm</t>
    <phoneticPr fontId="3" type="noConversion"/>
  </si>
  <si>
    <t>lms-prd-myd-023-lm</t>
    <phoneticPr fontId="3" type="noConversion"/>
  </si>
  <si>
    <t>db-30fl0u-kr1.vpc-cdb.gov-ntruss.com</t>
    <phoneticPr fontId="17" type="noConversion"/>
  </si>
  <si>
    <t>prd08_4_1</t>
    <phoneticPr fontId="17" type="noConversion"/>
  </si>
  <si>
    <t xml:space="preserve"> lms-prd-myd-024-lm</t>
    <phoneticPr fontId="3" type="noConversion"/>
  </si>
  <si>
    <t>prd09_3_1</t>
    <phoneticPr fontId="17" type="noConversion"/>
  </si>
  <si>
    <t>prd09_3_2</t>
    <phoneticPr fontId="17" type="noConversion"/>
  </si>
  <si>
    <t>lms-prd-myd-mae34h1092-lm</t>
    <phoneticPr fontId="3" type="noConversion"/>
  </si>
  <si>
    <t>lms-prd-myd-025-lm</t>
    <phoneticPr fontId="3" type="noConversion"/>
  </si>
  <si>
    <t>db-30fl2n-kr1.vpc-cdb.gov-ntruss.com</t>
    <phoneticPr fontId="17" type="noConversion"/>
  </si>
  <si>
    <t>prd09_4_1</t>
    <phoneticPr fontId="17" type="noConversion"/>
  </si>
  <si>
    <t>수학 4-2</t>
    <phoneticPr fontId="17" type="noConversion"/>
  </si>
  <si>
    <t>lms-prd-myd-mae34h1093-lm</t>
    <phoneticPr fontId="3" type="noConversion"/>
  </si>
  <si>
    <t>lms-prd-myd-026-lm</t>
    <phoneticPr fontId="3" type="noConversion"/>
  </si>
  <si>
    <t>db-30fl3g-kr1.vpc-cdb.gov-ntruss.com</t>
    <phoneticPr fontId="17" type="noConversion"/>
  </si>
  <si>
    <t>박만구</t>
    <phoneticPr fontId="17" type="noConversion"/>
  </si>
  <si>
    <t>lrw_prd08_3_2</t>
    <phoneticPr fontId="17" type="noConversion"/>
  </si>
  <si>
    <t>lms-prd-myd-mae34p1082-lw</t>
    <phoneticPr fontId="3" type="noConversion"/>
  </si>
  <si>
    <t>lms-prd-myd-023-lw</t>
    <phoneticPr fontId="3" type="noConversion"/>
  </si>
  <si>
    <t>db-30fl47-kr1.vpc-cdb.gov-ntruss.com</t>
    <phoneticPr fontId="17" type="noConversion"/>
  </si>
  <si>
    <t>lrw_prd08_4_1</t>
    <phoneticPr fontId="17" type="noConversion"/>
  </si>
  <si>
    <t>lms-prd-myd-mae34p1083-lw</t>
    <phoneticPr fontId="3" type="noConversion"/>
  </si>
  <si>
    <t xml:space="preserve"> lms-prd-myd-024-lw</t>
    <phoneticPr fontId="3" type="noConversion"/>
  </si>
  <si>
    <t>db-30fl4s-kr1.vpc-cdb.gov-ntruss.com</t>
    <phoneticPr fontId="17" type="noConversion"/>
  </si>
  <si>
    <t>lms-prd-myd-mae34h1092-lw</t>
    <phoneticPr fontId="3" type="noConversion"/>
  </si>
  <si>
    <t>lrw_prd09_4_1</t>
    <phoneticPr fontId="17" type="noConversion"/>
  </si>
  <si>
    <t>lrw_prd09_4_2</t>
    <phoneticPr fontId="17" type="noConversion"/>
  </si>
  <si>
    <t>prd08_4_2</t>
    <phoneticPr fontId="17" type="noConversion"/>
  </si>
  <si>
    <t>db-30fm83-kr1.vpc-cdb.gov-ntruss.com</t>
    <phoneticPr fontId="3" type="noConversion"/>
  </si>
  <si>
    <t>2년차 계정 Private 도메인</t>
    <phoneticPr fontId="3" type="noConversion"/>
  </si>
  <si>
    <t>db-30l6ej-kr1.vpc-cdb.gov-ntruss.com</t>
    <phoneticPr fontId="3" type="noConversion"/>
  </si>
  <si>
    <t>db-30ldsg-kr1.vpc-cdb.gov-ntruss.com</t>
    <phoneticPr fontId="3" type="noConversion"/>
  </si>
  <si>
    <t>db-30le0f-kr1.vpc-cdb.gov-ntruss.com</t>
    <phoneticPr fontId="3" type="noConversion"/>
  </si>
  <si>
    <t>db-30le0u-kr1.vpc-cdb.gov-ntruss.com</t>
    <phoneticPr fontId="3" type="noConversion"/>
  </si>
  <si>
    <t>db-30le5t-kr1.vpc-cdb.gov-ntruss.com</t>
    <phoneticPr fontId="3" type="noConversion"/>
  </si>
  <si>
    <t>db-30le6c-kr1.vpc-cdb.gov-ntruss.com</t>
    <phoneticPr fontId="3" type="noConversion"/>
  </si>
  <si>
    <t>db-30lds3-kr1.vpc-cdb.gov-ntruss.com</t>
    <phoneticPr fontId="3" type="noConversion"/>
  </si>
  <si>
    <t>db-30leaq-kr1.vpc-cdb.gov-ntruss.com</t>
    <phoneticPr fontId="3" type="noConversion"/>
  </si>
  <si>
    <t>db-30leba-kr1.vpc-cdb.gov-ntruss.com</t>
    <phoneticPr fontId="3" type="noConversion"/>
  </si>
  <si>
    <t>db-30led5-kr1.vpc-cdb.gov-ntruss.com</t>
    <phoneticPr fontId="3" type="noConversion"/>
  </si>
  <si>
    <t>db-30ledp-kr1.vpc-cdb.gov-ntruss.com</t>
    <phoneticPr fontId="3" type="noConversion"/>
  </si>
  <si>
    <t>db-30lehd-kr1.vpc-cdb.gov-ntruss.com</t>
    <phoneticPr fontId="3" type="noConversion"/>
  </si>
  <si>
    <t>db-30lehr-kr1.vpc-cdb.gov-ntruss.com</t>
    <phoneticPr fontId="3" type="noConversion"/>
  </si>
  <si>
    <t>db-30leir-kr1.vpc-cdb.gov-ntruss.com</t>
    <phoneticPr fontId="3" type="noConversion"/>
  </si>
  <si>
    <t>db-30leja-kr1.vpc-cdb.gov-ntruss.com</t>
    <phoneticPr fontId="3" type="noConversion"/>
  </si>
  <si>
    <t>db-30lejo-kr1.vpc-cdb.gov-ntruss.com</t>
    <phoneticPr fontId="3" type="noConversion"/>
  </si>
  <si>
    <t>db-30lek5-kr1.vpc-cdb.gov-ntruss.com</t>
    <phoneticPr fontId="3" type="noConversion"/>
  </si>
  <si>
    <t>db-30lekl-kr1.vpc-cdb.gov-ntruss.com</t>
    <phoneticPr fontId="3" type="noConversion"/>
  </si>
  <si>
    <t>db-30lel2-kr1.vpc-cdb.gov-ntruss.com</t>
    <phoneticPr fontId="3" type="noConversion"/>
  </si>
  <si>
    <t>db-30l6ds-kr1.vpc-cdb.gov-ntruss.com</t>
    <phoneticPr fontId="3" type="noConversion"/>
  </si>
  <si>
    <t>lms-prd-myd-01-lm-001-1vh5</t>
    <phoneticPr fontId="3" type="noConversion"/>
  </si>
  <si>
    <t>mysql --ssl-mode=DISABLED --get-server-public-key -ulrm_chunjae  -p'@anxkfrleh25!$' -h</t>
  </si>
  <si>
    <t>mysql --ssl-mode=DISABLED --get-server-public-key -ulrm_chunjae  -p'@anxkfrleh25!$' -h</t>
    <phoneticPr fontId="3" type="noConversion"/>
  </si>
  <si>
    <t>mysql --ssl-mode=DISABLED --get-server-public-key -ulrw_infra  -p'anxkfrleh25!%' -h</t>
  </si>
  <si>
    <t>mysql --ssl-mode=DISABLED --get-server-public-key -ulrw_infra  -p'anxkfrleh25!%' -h</t>
    <phoneticPr fontId="3" type="noConversion"/>
  </si>
  <si>
    <t>SELECT
table_schema,
SUM(data_length + index_length + data_free)/1024/1024 AS total_mb,
SUM(data_length)/1024/1024 AS data_mb,
SUM(index_length)/1024/1024 AS index_mb,
SUM(data_free)/1024/1024 AS free_mb,
COUNT(*) AS tables,
CURDATE() AS today
FROM
information_schema.tables
GROUP BY table_schema
ORDER BY 2 DESC;
status;</t>
    <phoneticPr fontId="3" type="noConversion"/>
  </si>
  <si>
    <t>db-30lk7s-kr1.vpc-cdb.gov-ntruss.com</t>
    <phoneticPr fontId="3" type="noConversion"/>
  </si>
  <si>
    <t>db-30lk8r-kr1.vpc-cdb.gov-ntruss.com</t>
    <phoneticPr fontId="3" type="noConversion"/>
  </si>
  <si>
    <t>db-30lk9v-kr1.vpc-cdb.gov-ntruss.com</t>
    <phoneticPr fontId="3" type="noConversion"/>
  </si>
  <si>
    <t>db-30lkat-kr1.vpc-cdb.gov-ntruss.com</t>
    <phoneticPr fontId="3" type="noConversion"/>
  </si>
  <si>
    <t>db-30lkbn-kr1.vpc-cdb.gov-ntruss.com</t>
    <phoneticPr fontId="3" type="noConversion"/>
  </si>
  <si>
    <t>db-30lkch-kr1.vpc-cdb.gov-ntruss.com</t>
    <phoneticPr fontId="3" type="noConversion"/>
  </si>
  <si>
    <t>db-30lkdi-kr1.vpc-cdb.gov-ntruss.com</t>
    <phoneticPr fontId="3" type="noConversion"/>
  </si>
  <si>
    <t>db-30lkeg-kr1.vpc-cdb.gov-ntruss.com</t>
    <phoneticPr fontId="3" type="noConversion"/>
  </si>
  <si>
    <t>db-30lk8d-kr1.vpc-cdb.gov-ntruss.com</t>
    <phoneticPr fontId="3" type="noConversion"/>
  </si>
  <si>
    <t>db-30lk9h-kr1.vpc-cdb.gov-ntruss.com</t>
    <phoneticPr fontId="3" type="noConversion"/>
  </si>
  <si>
    <t>lms-prd-myd-mae34h109-lw</t>
    <phoneticPr fontId="3" type="noConversion"/>
  </si>
  <si>
    <t>db-30lkad-kr1.vpc-cdb.gov-ntruss.com</t>
    <phoneticPr fontId="3" type="noConversion"/>
  </si>
  <si>
    <t>db-30lkba-kr1.vpc-cdb.gov-ntruss.com</t>
    <phoneticPr fontId="3" type="noConversion"/>
  </si>
  <si>
    <t>db-30lkc4-kr1.vpc-cdb.gov-ntruss.com</t>
    <phoneticPr fontId="3" type="noConversion"/>
  </si>
  <si>
    <t>db-30lkcu-kr1.vpc-cdb.gov-ntruss.com</t>
    <phoneticPr fontId="3" type="noConversion"/>
  </si>
  <si>
    <t>db-30lkdv-kr1.vpc-cdb.gov-ntruss.com</t>
    <phoneticPr fontId="3" type="noConversion"/>
  </si>
  <si>
    <t>db-30lkf0-kr1.vpc-cdb.gov-ntruss.com</t>
    <phoneticPr fontId="3" type="noConversion"/>
  </si>
  <si>
    <t>LRM_SEL</t>
  </si>
  <si>
    <t>LRM_WAS</t>
  </si>
  <si>
    <t xml:space="preserve">lmsprd </t>
  </si>
  <si>
    <t>lmsprom</t>
  </si>
  <si>
    <t>lrm_chunjae</t>
  </si>
  <si>
    <t>lrm_infra</t>
  </si>
  <si>
    <t>%</t>
  </si>
  <si>
    <t>DDL</t>
  </si>
  <si>
    <t>LRM_APP</t>
  </si>
  <si>
    <t>READ</t>
  </si>
  <si>
    <t>5lwh$ba17uz5</t>
  </si>
  <si>
    <t>$27m#ouhzqoa2</t>
  </si>
  <si>
    <t>ATH_APP</t>
  </si>
  <si>
    <t>ql49r#ojdt@ki</t>
  </si>
  <si>
    <t>ATH_WAS</t>
  </si>
  <si>
    <t>oi06tch7d6%</t>
  </si>
  <si>
    <t>CMS_APP</t>
  </si>
  <si>
    <t>bv#wr!if15toj</t>
  </si>
  <si>
    <t>2차_TTA</t>
    <phoneticPr fontId="3" type="noConversion"/>
  </si>
  <si>
    <t>LRM_ADMIN</t>
    <phoneticPr fontId="3" type="noConversion"/>
  </si>
  <si>
    <t>용도</t>
    <phoneticPr fontId="3" type="noConversion"/>
  </si>
  <si>
    <t>계정</t>
    <phoneticPr fontId="3" type="noConversion"/>
  </si>
  <si>
    <t>PRD, 서비스계정</t>
    <phoneticPr fontId="3" type="noConversion"/>
  </si>
  <si>
    <t>lmsprd</t>
    <phoneticPr fontId="3" type="noConversion"/>
  </si>
  <si>
    <t>lmsprd12#$</t>
    <phoneticPr fontId="3" type="noConversion"/>
  </si>
  <si>
    <t>dev/stg 용(DBA)</t>
    <phoneticPr fontId="3" type="noConversion"/>
  </si>
  <si>
    <t>DML(개발자)</t>
    <phoneticPr fontId="3" type="noConversion"/>
  </si>
  <si>
    <t>DML</t>
    <phoneticPr fontId="3" type="noConversion"/>
  </si>
  <si>
    <t>P_W</t>
    <phoneticPr fontId="3" type="noConversion"/>
  </si>
  <si>
    <t>lrm_chunjae</t>
    <phoneticPr fontId="3" type="noConversion"/>
  </si>
  <si>
    <t>이동환저자DDL</t>
    <phoneticPr fontId="3" type="noConversion"/>
  </si>
  <si>
    <t>@anxkfrleh25!$</t>
    <phoneticPr fontId="3" type="noConversion"/>
  </si>
  <si>
    <t>LRM_SEL</t>
    <phoneticPr fontId="3" type="noConversion"/>
  </si>
  <si>
    <t xml:space="preserve">lmsprd </t>
    <phoneticPr fontId="3" type="noConversion"/>
  </si>
  <si>
    <t>lmsprd12#$</t>
    <phoneticPr fontId="3" type="noConversion"/>
  </si>
  <si>
    <t>!ai03%lrdibw</t>
    <phoneticPr fontId="3" type="noConversion"/>
  </si>
  <si>
    <t>lmsprom</t>
    <phoneticPr fontId="3" type="noConversion"/>
  </si>
  <si>
    <t>lrm_chunjae</t>
    <phoneticPr fontId="3" type="noConversion"/>
  </si>
  <si>
    <t>lrw_infra</t>
    <phoneticPr fontId="3" type="noConversion"/>
  </si>
  <si>
    <t>anxkfrleh25!%</t>
    <phoneticPr fontId="3" type="noConversion"/>
  </si>
  <si>
    <t>@anxkfrleh25!$</t>
    <phoneticPr fontId="3" type="noConversion"/>
  </si>
  <si>
    <t>lrm_infra</t>
    <phoneticPr fontId="3" type="noConversion"/>
  </si>
  <si>
    <t>lrm_infra</t>
    <phoneticPr fontId="3" type="noConversion"/>
  </si>
  <si>
    <t>나머지저자DDL</t>
    <phoneticPr fontId="3" type="noConversion"/>
  </si>
  <si>
    <t>LRM_WAS</t>
    <phoneticPr fontId="3" type="noConversion"/>
  </si>
  <si>
    <t>ATH_SEL</t>
    <phoneticPr fontId="3" type="noConversion"/>
  </si>
  <si>
    <t>$27m#ouhzqoa2</t>
    <phoneticPr fontId="3" type="noConversion"/>
  </si>
  <si>
    <t>^fnf!rg82igq</t>
    <phoneticPr fontId="3" type="noConversion"/>
  </si>
  <si>
    <t>LRW_SEL</t>
    <phoneticPr fontId="3" type="noConversion"/>
  </si>
  <si>
    <t>8!coxzclx@wagv</t>
    <phoneticPr fontId="3" type="noConversion"/>
  </si>
  <si>
    <t>ALTER USER '</t>
    <phoneticPr fontId="3" type="noConversion"/>
  </si>
  <si>
    <t/>
  </si>
  <si>
    <t xml:space="preserve">' </t>
    <phoneticPr fontId="3" type="noConversion"/>
  </si>
  <si>
    <t>IDENTIFIED WITH caching_sha2_password</t>
    <phoneticPr fontId="3" type="noConversion"/>
  </si>
  <si>
    <t xml:space="preserve"> BY '</t>
    <phoneticPr fontId="3" type="noConversion"/>
  </si>
  <si>
    <t>';</t>
    <phoneticPr fontId="3" type="noConversion"/>
  </si>
  <si>
    <t xml:space="preserve">+------------------+-----------------------+---------------------------------------------- 
| user             | plugin                | authentication_string                         
+------------------+-----------------------+---------------------------------------------- 
| ATH_APP          | mysql_native_password | *E792F6A74FE838870EB08C95E408538E2F0B4466     
| ATH_SEL          | mysql_native_password | *C9FE178A7008A5840D807C6A0069FAA064081515     
| ATH_WAS          | mysql_native_password | *900518EF0EFF72BBF11243429798FFA72AB14BE5     
| CMS_APP          | mysql_native_password | *A404784420FD4DF0AD93E2803CE69026C99375CE     
| LRM_ADMIN        | mysql_native_password | *7EA85AC083996EDB0698608AAB6843E6AEB1DAAE     
| LRM_APP          | mysql_native_password | *22E2829C018F91EE1539B5C77C982686D96DC096     
| LRM_SEL          | mysql_native_password | *C9FE178A7008A5840D807C6A0069FAA064081515     
| LRM_WAS          | mysql_native_password | *456E79DD16D2C783BF7BE8C51BA2F6E663E6A3A4     
| backup_admin     | mysql_native_password | *6AE7E8C7D43598194314908AE8B8726A52AF3803     
| backup_admin2    | mysql_native_password | *8B7A1E4E5F4972265F79A714C4C3390F6E4CBD9A     
| lmsstg           | mysql_native_password | *E86F6D7B4883B3E48DBAFC3DDFB366BE7ED37895     
| tempadmin        | mysql_native_password | *8B7A1E4E5F4972265F79A714C4C3390F6E4CBD9A     
</t>
    <phoneticPr fontId="3" type="noConversion"/>
  </si>
  <si>
    <t>LRM_WAS</t>
    <phoneticPr fontId="3" type="noConversion"/>
  </si>
  <si>
    <t>$27m#ouhzqoa2</t>
    <phoneticPr fontId="3" type="noConversion"/>
  </si>
  <si>
    <t>mysql -A -uLRM_SEL -p'$27m#ouhzqoa2' -hdb-387rg-kr1.vpc-cdb.gov-ntruss.com</t>
    <phoneticPr fontId="3" type="noConversion"/>
  </si>
  <si>
    <t>LRW_WAS</t>
    <phoneticPr fontId="3" type="noConversion"/>
  </si>
  <si>
    <t>^fnf!rg82igq</t>
    <phoneticPr fontId="3" type="noConversion"/>
  </si>
  <si>
    <t>mysql -A -uLRW_WAS -p'^fnf!rg82igq' -hdb-387qk-kr1.vpc-cdb.gov-ntruss.com</t>
    <phoneticPr fontId="3" type="noConversion"/>
  </si>
  <si>
    <t>mysql -A -uLRW_SEL -p'8!coxzclx@wagv' -hdb-387qk-kr1.vpc-cdb.gov-ntruss.com</t>
    <phoneticPr fontId="3" type="noConversion"/>
  </si>
  <si>
    <t>mysql -A -uLRM_WAS -p'!ai03%lrdibw' -hdb-387rg-kr1.vpc-cdb.gov-ntruss.com</t>
    <phoneticPr fontId="3" type="noConversion"/>
  </si>
  <si>
    <t>mysql -A -uLRM_ADMIN -p'@anxkfrleh25!$' -hdb-387rg-kr1.vpc-cdb.gov-ntruss.com</t>
    <phoneticPr fontId="3" type="noConversion"/>
  </si>
  <si>
    <t>mysql --ssl-mode=DISABLED --get-server-public-key -uLRM_ADMIN -p'@anxkfrleh25!$' -hdb-387rg-kr1.vpc-cdb.gov-ntruss.com</t>
    <phoneticPr fontId="3" type="noConversion"/>
  </si>
  <si>
    <t>LRW_ADMIN</t>
    <phoneticPr fontId="3" type="noConversion"/>
  </si>
  <si>
    <t>@anxkfrleh25!%</t>
    <phoneticPr fontId="3" type="noConversion"/>
  </si>
  <si>
    <t>@anxkfrleh25!%</t>
    <phoneticPr fontId="3" type="noConversion"/>
  </si>
  <si>
    <t>LRW_ADMIN</t>
    <phoneticPr fontId="3" type="noConversion"/>
  </si>
  <si>
    <t>용도</t>
    <phoneticPr fontId="3" type="noConversion"/>
  </si>
  <si>
    <t>#2차콘솔</t>
    <phoneticPr fontId="3" type="noConversion"/>
  </si>
  <si>
    <t>LRM_APP</t>
    <phoneticPr fontId="3" type="noConversion"/>
  </si>
  <si>
    <t>LRM_WAS</t>
    <phoneticPr fontId="3" type="noConversion"/>
  </si>
  <si>
    <t>lmsstg</t>
    <phoneticPr fontId="3" type="noConversion"/>
  </si>
  <si>
    <t>lmsdev12#$</t>
    <phoneticPr fontId="3" type="noConversion"/>
  </si>
  <si>
    <t>app_2026!!</t>
    <phoneticPr fontId="3" type="noConversion"/>
  </si>
  <si>
    <t>was_2026!!</t>
    <phoneticPr fontId="3" type="noConversion"/>
  </si>
  <si>
    <t>lmsdev</t>
    <phoneticPr fontId="3" type="noConversion"/>
  </si>
  <si>
    <t>와탭</t>
    <phoneticPr fontId="3" type="noConversion"/>
  </si>
  <si>
    <t>whatap</t>
    <phoneticPr fontId="3" type="noConversion"/>
  </si>
  <si>
    <t>prdmon12#$</t>
    <phoneticPr fontId="3" type="noConversion"/>
  </si>
  <si>
    <t>lmsstg12#$</t>
    <phoneticPr fontId="3" type="noConversion"/>
  </si>
  <si>
    <t>NCP_VPN_아이디</t>
    <phoneticPr fontId="3" type="noConversion"/>
  </si>
  <si>
    <t>yeom33_board_prd</t>
    <phoneticPr fontId="3" type="noConversion"/>
  </si>
  <si>
    <t>분류</t>
    <phoneticPr fontId="3" type="noConversion"/>
  </si>
  <si>
    <t>NCP클래스보드</t>
    <phoneticPr fontId="3" type="noConversion"/>
  </si>
  <si>
    <t>NCP_VPN_선택</t>
    <phoneticPr fontId="3" type="noConversion"/>
  </si>
  <si>
    <t>NCP_ClassBoard_Prd</t>
    <phoneticPr fontId="3" type="noConversion"/>
  </si>
  <si>
    <t>###현재###</t>
    <phoneticPr fontId="3" type="noConversion"/>
  </si>
  <si>
    <t>###변경안###</t>
    <phoneticPr fontId="3" type="noConversion"/>
  </si>
  <si>
    <t>영어</t>
    <phoneticPr fontId="3" type="noConversion"/>
  </si>
  <si>
    <t>접속정보</t>
    <phoneticPr fontId="3" type="noConversion"/>
  </si>
  <si>
    <t>db-2nmn5-kr1.vpc-cdb.gov-ntruss.com</t>
    <phoneticPr fontId="3" type="noConversion"/>
  </si>
  <si>
    <t>DB계정</t>
    <phoneticPr fontId="3" type="noConversion"/>
  </si>
  <si>
    <t>수학</t>
    <phoneticPr fontId="3" type="noConversion"/>
  </si>
  <si>
    <t>DB명</t>
    <phoneticPr fontId="3" type="noConversion"/>
  </si>
  <si>
    <t>영어통합….vpc-cdb.gov-ntruss.com</t>
    <phoneticPr fontId="3" type="noConversion"/>
  </si>
  <si>
    <t>수학통합….vpc-cdb.gov-ntruss.com</t>
    <phoneticPr fontId="3" type="noConversion"/>
  </si>
  <si>
    <t>lms_lrw</t>
    <phoneticPr fontId="3" type="noConversion"/>
  </si>
  <si>
    <t>lms_lrm
lms_cms</t>
    <phoneticPr fontId="3" type="noConversion"/>
  </si>
  <si>
    <t>lms_lrm_eng02
lms_cms_eng02
lms_lrw_eng02</t>
    <phoneticPr fontId="3" type="noConversion"/>
  </si>
  <si>
    <t>lms_lrm_eng03
lms_cms_eng03
lms_lrw_eng03</t>
    <phoneticPr fontId="3" type="noConversion"/>
  </si>
  <si>
    <t>lms_lrm_eng04
lms_cms_eng04
lms_lrw_eng04</t>
    <phoneticPr fontId="3" type="noConversion"/>
  </si>
  <si>
    <t>lms_lrm_eng05
lms_cms_eng05
lms_lrw_eng05</t>
    <phoneticPr fontId="3" type="noConversion"/>
  </si>
  <si>
    <t>lms_lrm_eng06
lms_cms_eng06
lms_lrw_eng06</t>
    <phoneticPr fontId="3" type="noConversion"/>
  </si>
  <si>
    <t>lms_lrm_eng07
lms_cms_eng07
lms_lrw_eng07</t>
    <phoneticPr fontId="3" type="noConversion"/>
  </si>
  <si>
    <t>lms_lrm_eng08
lms_cms_eng08
lms_lrw_eng08</t>
    <phoneticPr fontId="3" type="noConversion"/>
  </si>
  <si>
    <t>lms_lrm_eng09
lms_cms_eng09
lms_lrw_eng09</t>
    <phoneticPr fontId="3" type="noConversion"/>
  </si>
  <si>
    <t>lms_lrm_eng10
lms_cms_eng10
lms_lrw_eng10</t>
    <phoneticPr fontId="3" type="noConversion"/>
  </si>
  <si>
    <t>lms_lrm_eng11
lms_cms_eng11
lms_lrw_eng11</t>
    <phoneticPr fontId="3" type="noConversion"/>
  </si>
  <si>
    <t>lms_lrm_eng12
lms_cms_eng12
lms_lrw_eng12</t>
    <phoneticPr fontId="3" type="noConversion"/>
  </si>
  <si>
    <t>lms_lrm_math01
lms_cms_math01
lms_lrw_math01</t>
    <phoneticPr fontId="3" type="noConversion"/>
  </si>
  <si>
    <t>lms_lrm_math02
lms_cms_math02
lms_lrw_math02</t>
    <phoneticPr fontId="3" type="noConversion"/>
  </si>
  <si>
    <t>lms_lrm_math03
lms_cms_math03
lms_lrw_math03</t>
    <phoneticPr fontId="3" type="noConversion"/>
  </si>
  <si>
    <t>lms_lrm_math04
lms_cms_math04
lms_lrw_math04</t>
    <phoneticPr fontId="3" type="noConversion"/>
  </si>
  <si>
    <t>lms_lrm_math05
lms_cms_math05
lms_lrw_math05</t>
    <phoneticPr fontId="3" type="noConversion"/>
  </si>
  <si>
    <t>lms_lrm_math06
lms_cms_math06
lms_lrw_math06</t>
    <phoneticPr fontId="3" type="noConversion"/>
  </si>
  <si>
    <t>lms_lrm_math07
lms_cms_math07
lms_lrw_math07</t>
    <phoneticPr fontId="3" type="noConversion"/>
  </si>
  <si>
    <t>lms_lrm_math08
lms_cms_math08
lms_lrw_math08</t>
    <phoneticPr fontId="3" type="noConversion"/>
  </si>
  <si>
    <t>lms_lrm_math09
lms_cms_math09
lms_lrw_math09</t>
    <phoneticPr fontId="3" type="noConversion"/>
  </si>
  <si>
    <t>lms_lrm_math10
lms_cms_math10
lms_lrw_math10</t>
    <phoneticPr fontId="3" type="noConversion"/>
  </si>
  <si>
    <t>lms_lrm_math11
lms_cms_math11
lms_lrw_math11</t>
    <phoneticPr fontId="3" type="noConversion"/>
  </si>
  <si>
    <t>lms_lrm_math12
lms_cms_math12
lms_lrw_math12</t>
    <phoneticPr fontId="3" type="noConversion"/>
  </si>
  <si>
    <t>lms_lrm_math13
lms_cms_math13
lms_lrw_math13</t>
    <phoneticPr fontId="3" type="noConversion"/>
  </si>
  <si>
    <t>lms_lrm_math14
lms_cms_math14
lms_lrw_math14</t>
    <phoneticPr fontId="3" type="noConversion"/>
  </si>
  <si>
    <r>
      <t>접속정보</t>
    </r>
    <r>
      <rPr>
        <sz val="10"/>
        <color rgb="FF000000"/>
        <rFont val="맑은 고딕"/>
        <family val="3"/>
        <charset val="129"/>
        <scheme val="minor"/>
      </rPr>
      <t>(교차확인 필요)</t>
    </r>
    <phoneticPr fontId="3" type="noConversion"/>
  </si>
  <si>
    <r>
      <t>DB명</t>
    </r>
    <r>
      <rPr>
        <sz val="10"/>
        <color rgb="FF000000"/>
        <rFont val="맑은 고딕"/>
        <family val="3"/>
        <charset val="129"/>
        <scheme val="minor"/>
      </rPr>
      <t>(협의필요)</t>
    </r>
    <phoneticPr fontId="3" type="noConversion"/>
  </si>
  <si>
    <t>접속정보</t>
    <phoneticPr fontId="3" type="noConversion"/>
  </si>
  <si>
    <t xml:space="preserve">LRM_WAS
LRW_WAS
</t>
    <phoneticPr fontId="3" type="noConversion"/>
  </si>
  <si>
    <t>DB 서비스 계정(협의필요)</t>
    <phoneticPr fontId="3" type="noConversion"/>
  </si>
  <si>
    <t>DB서비스계정</t>
    <phoneticPr fontId="3" type="noConversion"/>
  </si>
  <si>
    <t>비고</t>
    <phoneticPr fontId="3" type="noConversion"/>
  </si>
  <si>
    <t>스크립트</t>
    <phoneticPr fontId="3" type="noConversion"/>
  </si>
  <si>
    <t>lms_lrm_eng01
lms_cms_eng01
lms_lrw_eng01</t>
    <phoneticPr fontId="3" type="noConversion"/>
  </si>
  <si>
    <r>
      <t>DB명</t>
    </r>
    <r>
      <rPr>
        <sz val="10"/>
        <color rgb="FF000000"/>
        <rFont val="맑은 고딕"/>
        <family val="3"/>
        <charset val="129"/>
        <scheme val="minor"/>
      </rPr>
      <t>(협의필요)</t>
    </r>
    <phoneticPr fontId="3" type="noConversion"/>
  </si>
  <si>
    <t>LMS PRD LM DB 현황</t>
    <phoneticPr fontId="3" type="noConversion"/>
  </si>
  <si>
    <t>학교급</t>
    <phoneticPr fontId="3" type="noConversion"/>
  </si>
  <si>
    <t>lms-prd-myd-mae34p1082-lm</t>
    <phoneticPr fontId="3" type="noConversion"/>
  </si>
  <si>
    <t>db-30fl0u-kr1.vpc-cdb.gov-ntruss.com</t>
    <phoneticPr fontId="3" type="noConversion"/>
  </si>
  <si>
    <t>db-308ulb-kr1.vpc-cdb.gov-ntruss.com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</si>
</sst>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mm&quot;월&quot;\ dd&quot;일&quot;"/>
  </numFmts>
  <fonts count="23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i/>
      <sz val="11"/>
      <color rgb="FF000000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b/>
      <i/>
      <sz val="11"/>
      <color theme="1"/>
      <name val="맑은 고딕"/>
      <family val="3"/>
      <charset val="129"/>
      <scheme val="minor"/>
    </font>
    <font>
      <sz val="11"/>
      <name val="Calibri"/>
      <family val="2"/>
    </font>
    <font>
      <b/>
      <sz val="12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1"/>
      <color rgb="FF000000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돋움"/>
      <family val="3"/>
      <charset val="129"/>
    </font>
    <font>
      <sz val="11"/>
      <color rgb="FFFF0000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C5D9F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3999755851924192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>
      <alignment vertical="center"/>
    </xf>
    <xf numFmtId="0" fontId="1" fillId="0" borderId="0"/>
    <xf numFmtId="0" fontId="2" fillId="0" borderId="0"/>
    <xf numFmtId="0" fontId="7" fillId="0" borderId="0"/>
    <xf numFmtId="0" fontId="20" fillId="0" borderId="0" applyNumberFormat="0" applyFill="0" applyBorder="0" applyAlignment="0" applyProtection="0">
      <alignment vertical="center"/>
    </xf>
  </cellStyleXfs>
  <cellXfs count="164">
    <xf numFmtId="0" fontId="0" fillId="0" borderId="0" xfId="0">
      <alignment vertical="center"/>
    </xf>
    <xf numFmtId="0" fontId="5" fillId="3" borderId="2" xfId="0" applyFont="1" applyFill="1" applyBorder="1" applyAlignment="1">
      <alignment horizontal="right" vertical="center"/>
    </xf>
    <xf numFmtId="0" fontId="5" fillId="0" borderId="2" xfId="0" applyFont="1" applyBorder="1" applyAlignment="1">
      <alignment horizontal="right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vertical="center" wrapText="1"/>
    </xf>
    <xf numFmtId="0" fontId="5" fillId="3" borderId="2" xfId="0" applyFont="1" applyFill="1" applyBorder="1" applyAlignment="1">
      <alignment horizontal="left" vertical="center"/>
    </xf>
    <xf numFmtId="0" fontId="5" fillId="0" borderId="2" xfId="0" applyFont="1" applyBorder="1" applyAlignment="1">
      <alignment horizontal="left" vertical="center"/>
    </xf>
    <xf numFmtId="0" fontId="9" fillId="0" borderId="0" xfId="3" applyFont="1" applyBorder="1"/>
    <xf numFmtId="0" fontId="8" fillId="0" borderId="0" xfId="3" applyFont="1" applyFill="1" applyBorder="1" applyAlignment="1">
      <alignment horizontal="center"/>
    </xf>
    <xf numFmtId="0" fontId="9" fillId="0" borderId="0" xfId="3" applyFont="1" applyFill="1" applyBorder="1"/>
    <xf numFmtId="0" fontId="4" fillId="2" borderId="2" xfId="0" applyFont="1" applyFill="1" applyBorder="1" applyAlignment="1">
      <alignment horizontal="center" vertical="center"/>
    </xf>
    <xf numFmtId="176" fontId="5" fillId="0" borderId="2" xfId="0" applyNumberFormat="1" applyFont="1" applyFill="1" applyBorder="1" applyAlignment="1">
      <alignment horizontal="right" vertical="center"/>
    </xf>
    <xf numFmtId="0" fontId="5" fillId="0" borderId="2" xfId="0" applyFont="1" applyFill="1" applyBorder="1" applyAlignment="1">
      <alignment horizontal="left" vertical="center"/>
    </xf>
    <xf numFmtId="0" fontId="5" fillId="0" borderId="2" xfId="0" applyFont="1" applyFill="1" applyBorder="1" applyAlignment="1">
      <alignment horizontal="right" vertical="center"/>
    </xf>
    <xf numFmtId="0" fontId="5" fillId="0" borderId="2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vertical="center" wrapText="1"/>
    </xf>
    <xf numFmtId="0" fontId="10" fillId="4" borderId="2" xfId="0" applyFont="1" applyFill="1" applyBorder="1" applyAlignment="1">
      <alignment horizontal="center" vertical="center" wrapText="1"/>
    </xf>
    <xf numFmtId="0" fontId="10" fillId="4" borderId="2" xfId="0" applyFont="1" applyFill="1" applyBorder="1" applyAlignment="1">
      <alignment vertical="center" wrapText="1"/>
    </xf>
    <xf numFmtId="176" fontId="10" fillId="4" borderId="2" xfId="0" applyNumberFormat="1" applyFont="1" applyFill="1" applyBorder="1" applyAlignment="1">
      <alignment horizontal="right" vertical="center"/>
    </xf>
    <xf numFmtId="0" fontId="10" fillId="4" borderId="2" xfId="0" applyFont="1" applyFill="1" applyBorder="1" applyAlignment="1">
      <alignment horizontal="left" vertical="center"/>
    </xf>
    <xf numFmtId="49" fontId="11" fillId="0" borderId="0" xfId="1" applyNumberFormat="1" applyFont="1" applyBorder="1" applyAlignment="1">
      <alignment vertical="center"/>
    </xf>
    <xf numFmtId="49" fontId="11" fillId="0" borderId="0" xfId="1" applyNumberFormat="1" applyFont="1" applyFill="1" applyBorder="1" applyAlignment="1">
      <alignment vertical="center"/>
    </xf>
    <xf numFmtId="0" fontId="1" fillId="0" borderId="0" xfId="0" applyFont="1">
      <alignment vertical="center"/>
    </xf>
    <xf numFmtId="49" fontId="12" fillId="0" borderId="0" xfId="1" applyNumberFormat="1" applyFont="1" applyBorder="1" applyAlignment="1">
      <alignment vertical="center"/>
    </xf>
    <xf numFmtId="0" fontId="1" fillId="0" borderId="0" xfId="0" applyFont="1" applyFill="1" applyBorder="1">
      <alignment vertical="center"/>
    </xf>
    <xf numFmtId="0" fontId="13" fillId="0" borderId="1" xfId="0" applyFont="1" applyFill="1" applyBorder="1" applyAlignment="1">
      <alignment horizontal="center" vertical="center" readingOrder="1"/>
    </xf>
    <xf numFmtId="0" fontId="13" fillId="0" borderId="1" xfId="0" applyFont="1" applyFill="1" applyBorder="1" applyAlignment="1">
      <alignment horizontal="center" vertical="center" wrapText="1" readingOrder="1"/>
    </xf>
    <xf numFmtId="0" fontId="14" fillId="0" borderId="1" xfId="0" applyFont="1" applyFill="1" applyBorder="1" applyAlignment="1">
      <alignment horizontal="center" vertical="center" wrapText="1" readingOrder="1"/>
    </xf>
    <xf numFmtId="0" fontId="13" fillId="4" borderId="1" xfId="0" applyFont="1" applyFill="1" applyBorder="1" applyAlignment="1">
      <alignment horizontal="center" vertical="center" wrapText="1" readingOrder="1"/>
    </xf>
    <xf numFmtId="0" fontId="15" fillId="0" borderId="1" xfId="0" applyFont="1" applyFill="1" applyBorder="1" applyAlignment="1">
      <alignment horizontal="center" vertical="center" wrapText="1" readingOrder="1"/>
    </xf>
    <xf numFmtId="0" fontId="1" fillId="0" borderId="0" xfId="0" applyFont="1" applyBorder="1">
      <alignment vertical="center"/>
    </xf>
    <xf numFmtId="176" fontId="16" fillId="4" borderId="2" xfId="0" applyNumberFormat="1" applyFont="1" applyFill="1" applyBorder="1" applyAlignment="1">
      <alignment horizontal="right" vertical="center"/>
    </xf>
    <xf numFmtId="0" fontId="4" fillId="2" borderId="2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left"/>
    </xf>
    <xf numFmtId="0" fontId="5" fillId="7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9" fillId="0" borderId="0" xfId="0" applyFont="1" applyBorder="1" applyAlignment="1"/>
    <xf numFmtId="0" fontId="9" fillId="0" borderId="0" xfId="0" applyFont="1" applyAlignment="1"/>
    <xf numFmtId="0" fontId="10" fillId="8" borderId="1" xfId="0" applyFont="1" applyFill="1" applyBorder="1" applyAlignment="1">
      <alignment horizontal="center" vertical="center"/>
    </xf>
    <xf numFmtId="0" fontId="8" fillId="9" borderId="1" xfId="0" applyFont="1" applyFill="1" applyBorder="1" applyAlignment="1">
      <alignment horizontal="center"/>
    </xf>
    <xf numFmtId="0" fontId="5" fillId="8" borderId="0" xfId="0" applyFont="1" applyFill="1" applyBorder="1" applyAlignment="1">
      <alignment horizontal="center" vertical="center" wrapText="1"/>
    </xf>
    <xf numFmtId="0" fontId="5" fillId="0" borderId="0" xfId="0" applyFont="1" applyBorder="1" applyAlignment="1">
      <alignment vertical="center" wrapText="1"/>
    </xf>
    <xf numFmtId="0" fontId="9" fillId="0" borderId="0" xfId="0" applyFont="1" applyBorder="1" applyAlignment="1">
      <alignment horizontal="left"/>
    </xf>
    <xf numFmtId="0" fontId="9" fillId="10" borderId="1" xfId="0" applyFont="1" applyFill="1" applyBorder="1" applyAlignment="1">
      <alignment horizontal="left"/>
    </xf>
    <xf numFmtId="0" fontId="5" fillId="0" borderId="1" xfId="0" applyFont="1" applyBorder="1" applyAlignment="1">
      <alignment horizontal="left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5" fillId="10" borderId="1" xfId="0" applyFont="1" applyFill="1" applyBorder="1" applyAlignment="1">
      <alignment horizontal="left" vertical="center" wrapText="1"/>
    </xf>
    <xf numFmtId="176" fontId="5" fillId="10" borderId="1" xfId="0" applyNumberFormat="1" applyFont="1" applyFill="1" applyBorder="1" applyAlignment="1">
      <alignment horizontal="left" vertical="center"/>
    </xf>
    <xf numFmtId="0" fontId="0" fillId="0" borderId="0" xfId="0" applyAlignment="1">
      <alignment horizontal="left" vertical="top"/>
    </xf>
    <xf numFmtId="0" fontId="10" fillId="2" borderId="6" xfId="0" applyFont="1" applyFill="1" applyBorder="1" applyAlignment="1">
      <alignment horizontal="left" vertical="top"/>
    </xf>
    <xf numFmtId="0" fontId="10" fillId="2" borderId="7" xfId="0" applyFont="1" applyFill="1" applyBorder="1" applyAlignment="1">
      <alignment horizontal="left" vertical="top"/>
    </xf>
    <xf numFmtId="0" fontId="8" fillId="6" borderId="7" xfId="0" applyFont="1" applyFill="1" applyBorder="1" applyAlignment="1">
      <alignment horizontal="left" vertical="top"/>
    </xf>
    <xf numFmtId="0" fontId="8" fillId="6" borderId="8" xfId="0" applyFont="1" applyFill="1" applyBorder="1" applyAlignment="1">
      <alignment horizontal="left" vertical="top"/>
    </xf>
    <xf numFmtId="0" fontId="5" fillId="4" borderId="9" xfId="0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  <xf numFmtId="0" fontId="9" fillId="0" borderId="1" xfId="0" applyFont="1" applyBorder="1" applyAlignment="1">
      <alignment horizontal="left" vertical="top"/>
    </xf>
    <xf numFmtId="0" fontId="9" fillId="0" borderId="10" xfId="0" applyFont="1" applyBorder="1" applyAlignment="1">
      <alignment horizontal="left" vertical="top"/>
    </xf>
    <xf numFmtId="0" fontId="9" fillId="11" borderId="10" xfId="0" applyFont="1" applyFill="1" applyBorder="1" applyAlignment="1">
      <alignment horizontal="left" vertical="top"/>
    </xf>
    <xf numFmtId="0" fontId="0" fillId="0" borderId="0" xfId="0" applyAlignment="1">
      <alignment horizontal="left" vertical="top" wrapText="1"/>
    </xf>
    <xf numFmtId="0" fontId="5" fillId="3" borderId="1" xfId="0" applyFont="1" applyFill="1" applyBorder="1" applyAlignment="1">
      <alignment horizontal="left" vertical="top" wrapText="1"/>
    </xf>
    <xf numFmtId="0" fontId="5" fillId="7" borderId="9" xfId="0" applyFont="1" applyFill="1" applyBorder="1" applyAlignment="1">
      <alignment horizontal="left" vertical="top" wrapText="1"/>
    </xf>
    <xf numFmtId="0" fontId="18" fillId="8" borderId="9" xfId="0" applyFont="1" applyFill="1" applyBorder="1" applyAlignment="1">
      <alignment horizontal="left" vertical="top" wrapText="1"/>
    </xf>
    <xf numFmtId="0" fontId="18" fillId="0" borderId="1" xfId="0" applyFont="1" applyBorder="1" applyAlignment="1">
      <alignment horizontal="left" vertical="top" wrapText="1"/>
    </xf>
    <xf numFmtId="0" fontId="18" fillId="0" borderId="1" xfId="0" applyFont="1" applyBorder="1" applyAlignment="1">
      <alignment horizontal="left" vertical="top"/>
    </xf>
    <xf numFmtId="0" fontId="18" fillId="0" borderId="10" xfId="0" applyFont="1" applyBorder="1" applyAlignment="1">
      <alignment horizontal="left" vertical="top"/>
    </xf>
    <xf numFmtId="0" fontId="18" fillId="12" borderId="10" xfId="0" applyFont="1" applyFill="1" applyBorder="1" applyAlignment="1">
      <alignment horizontal="left" vertical="top"/>
    </xf>
    <xf numFmtId="0" fontId="5" fillId="10" borderId="1" xfId="0" applyFont="1" applyFill="1" applyBorder="1" applyAlignment="1">
      <alignment horizontal="left" vertical="top" wrapText="1"/>
    </xf>
    <xf numFmtId="0" fontId="9" fillId="10" borderId="1" xfId="0" applyFont="1" applyFill="1" applyBorder="1" applyAlignment="1">
      <alignment horizontal="left" vertical="top"/>
    </xf>
    <xf numFmtId="176" fontId="5" fillId="10" borderId="1" xfId="0" applyNumberFormat="1" applyFont="1" applyFill="1" applyBorder="1" applyAlignment="1">
      <alignment horizontal="left" vertical="top"/>
    </xf>
    <xf numFmtId="0" fontId="9" fillId="10" borderId="10" xfId="0" applyFont="1" applyFill="1" applyBorder="1" applyAlignment="1">
      <alignment horizontal="left" vertical="top"/>
    </xf>
    <xf numFmtId="0" fontId="18" fillId="8" borderId="11" xfId="0" applyFont="1" applyFill="1" applyBorder="1" applyAlignment="1">
      <alignment horizontal="left" vertical="top" wrapText="1"/>
    </xf>
    <xf numFmtId="0" fontId="18" fillId="0" borderId="12" xfId="0" applyFont="1" applyBorder="1" applyAlignment="1">
      <alignment horizontal="left" vertical="top" wrapText="1"/>
    </xf>
    <xf numFmtId="0" fontId="18" fillId="0" borderId="12" xfId="0" applyFont="1" applyBorder="1" applyAlignment="1">
      <alignment horizontal="left" vertical="top"/>
    </xf>
    <xf numFmtId="0" fontId="18" fillId="0" borderId="13" xfId="0" applyFont="1" applyBorder="1" applyAlignment="1">
      <alignment horizontal="left" vertical="top"/>
    </xf>
    <xf numFmtId="0" fontId="18" fillId="12" borderId="13" xfId="0" applyFont="1" applyFill="1" applyBorder="1" applyAlignment="1">
      <alignment horizontal="left" vertical="top"/>
    </xf>
    <xf numFmtId="0" fontId="9" fillId="0" borderId="0" xfId="0" applyFont="1" applyBorder="1" applyAlignment="1">
      <alignment horizontal="left" vertical="top"/>
    </xf>
    <xf numFmtId="0" fontId="9" fillId="0" borderId="0" xfId="0" applyFont="1" applyAlignment="1">
      <alignment horizontal="left" vertical="top"/>
    </xf>
    <xf numFmtId="0" fontId="10" fillId="8" borderId="7" xfId="0" applyFont="1" applyFill="1" applyBorder="1" applyAlignment="1">
      <alignment horizontal="left" vertical="top"/>
    </xf>
    <xf numFmtId="0" fontId="8" fillId="9" borderId="7" xfId="0" applyFont="1" applyFill="1" applyBorder="1" applyAlignment="1">
      <alignment horizontal="left" vertical="top"/>
    </xf>
    <xf numFmtId="0" fontId="8" fillId="9" borderId="8" xfId="0" applyFont="1" applyFill="1" applyBorder="1" applyAlignment="1">
      <alignment horizontal="left" vertical="top"/>
    </xf>
    <xf numFmtId="0" fontId="0" fillId="13" borderId="0" xfId="0" applyFill="1" applyAlignment="1">
      <alignment horizontal="left" vertical="top"/>
    </xf>
    <xf numFmtId="0" fontId="0" fillId="13" borderId="0" xfId="0" applyFill="1" applyAlignment="1">
      <alignment horizontal="left" vertical="top" wrapText="1"/>
    </xf>
    <xf numFmtId="0" fontId="0" fillId="0" borderId="0" xfId="0" applyFill="1" applyAlignment="1">
      <alignment horizontal="left" vertical="top" wrapText="1"/>
    </xf>
    <xf numFmtId="0" fontId="0" fillId="0" borderId="0" xfId="0" applyAlignment="1">
      <alignment horizontal="left" vertical="top"/>
    </xf>
    <xf numFmtId="0" fontId="19" fillId="11" borderId="10" xfId="0" applyFont="1" applyFill="1" applyBorder="1" applyAlignment="1">
      <alignment horizontal="left" vertical="top"/>
    </xf>
    <xf numFmtId="0" fontId="0" fillId="14" borderId="0" xfId="0" applyFill="1" applyAlignment="1">
      <alignment horizontal="left" vertical="top"/>
    </xf>
    <xf numFmtId="0" fontId="0" fillId="0" borderId="1" xfId="0" applyBorder="1">
      <alignment vertical="center"/>
    </xf>
    <xf numFmtId="0" fontId="0" fillId="15" borderId="1" xfId="0" applyFill="1" applyBorder="1">
      <alignment vertical="center"/>
    </xf>
    <xf numFmtId="0" fontId="0" fillId="0" borderId="1" xfId="0" applyFill="1" applyBorder="1">
      <alignment vertical="center"/>
    </xf>
    <xf numFmtId="0" fontId="16" fillId="10" borderId="1" xfId="0" applyFont="1" applyFill="1" applyBorder="1">
      <alignment vertical="center"/>
    </xf>
    <xf numFmtId="0" fontId="16" fillId="16" borderId="1" xfId="0" applyFont="1" applyFill="1" applyBorder="1">
      <alignment vertical="center"/>
    </xf>
    <xf numFmtId="0" fontId="0" fillId="0" borderId="1" xfId="0" quotePrefix="1" applyBorder="1">
      <alignment vertical="center"/>
    </xf>
    <xf numFmtId="0" fontId="20" fillId="0" borderId="0" xfId="4">
      <alignment vertical="center"/>
    </xf>
    <xf numFmtId="0" fontId="0" fillId="0" borderId="0" xfId="0" quotePrefix="1">
      <alignment vertical="center"/>
    </xf>
    <xf numFmtId="0" fontId="0" fillId="4" borderId="1" xfId="0" applyFill="1" applyBorder="1">
      <alignment vertical="center"/>
    </xf>
    <xf numFmtId="0" fontId="0" fillId="4" borderId="0" xfId="0" applyFill="1">
      <alignment vertical="center"/>
    </xf>
    <xf numFmtId="0" fontId="0" fillId="5" borderId="1" xfId="0" applyFill="1" applyBorder="1">
      <alignment vertical="center"/>
    </xf>
    <xf numFmtId="0" fontId="0" fillId="0" borderId="0" xfId="0" quotePrefix="1" applyFill="1" applyBorder="1">
      <alignment vertical="center"/>
    </xf>
    <xf numFmtId="0" fontId="0" fillId="15" borderId="14" xfId="0" applyFill="1" applyBorder="1">
      <alignment vertical="center"/>
    </xf>
    <xf numFmtId="0" fontId="16" fillId="0" borderId="1" xfId="0" applyFont="1" applyBorder="1">
      <alignment vertical="center"/>
    </xf>
    <xf numFmtId="0" fontId="21" fillId="18" borderId="1" xfId="0" applyFont="1" applyFill="1" applyBorder="1" applyAlignment="1">
      <alignment horizontal="center" vertical="center" wrapText="1"/>
    </xf>
    <xf numFmtId="0" fontId="21" fillId="18" borderId="1" xfId="0" applyFont="1" applyFill="1" applyBorder="1" applyAlignment="1">
      <alignment vertical="center" wrapText="1"/>
    </xf>
    <xf numFmtId="0" fontId="15" fillId="19" borderId="1" xfId="0" applyFont="1" applyFill="1" applyBorder="1" applyAlignment="1">
      <alignment horizontal="center" vertical="center"/>
    </xf>
    <xf numFmtId="0" fontId="21" fillId="18" borderId="1" xfId="0" applyFont="1" applyFill="1" applyBorder="1" applyAlignment="1">
      <alignment horizontal="right" vertical="center"/>
    </xf>
    <xf numFmtId="176" fontId="21" fillId="18" borderId="1" xfId="0" applyNumberFormat="1" applyFont="1" applyFill="1" applyBorder="1" applyAlignment="1">
      <alignment horizontal="right" vertical="center"/>
    </xf>
    <xf numFmtId="0" fontId="21" fillId="7" borderId="1" xfId="0" applyFont="1" applyFill="1" applyBorder="1" applyAlignment="1">
      <alignment horizontal="center" vertical="center" wrapText="1"/>
    </xf>
    <xf numFmtId="0" fontId="21" fillId="7" borderId="1" xfId="0" applyFont="1" applyFill="1" applyBorder="1" applyAlignment="1">
      <alignment vertical="center" wrapText="1"/>
    </xf>
    <xf numFmtId="176" fontId="21" fillId="7" borderId="1" xfId="0" applyNumberFormat="1" applyFont="1" applyFill="1" applyBorder="1" applyAlignment="1">
      <alignment horizontal="right" vertical="center"/>
    </xf>
    <xf numFmtId="0" fontId="21" fillId="7" borderId="1" xfId="0" applyFont="1" applyFill="1" applyBorder="1" applyAlignment="1">
      <alignment horizontal="right" vertical="center"/>
    </xf>
    <xf numFmtId="0" fontId="15" fillId="19" borderId="15" xfId="0" applyFont="1" applyFill="1" applyBorder="1" applyAlignment="1">
      <alignment horizontal="center" vertical="center"/>
    </xf>
    <xf numFmtId="0" fontId="21" fillId="18" borderId="17" xfId="0" applyFont="1" applyFill="1" applyBorder="1" applyAlignment="1">
      <alignment vertical="center" wrapText="1"/>
    </xf>
    <xf numFmtId="0" fontId="21" fillId="7" borderId="17" xfId="0" applyFont="1" applyFill="1" applyBorder="1" applyAlignment="1">
      <alignment vertical="center" wrapText="1"/>
    </xf>
    <xf numFmtId="0" fontId="13" fillId="19" borderId="1" xfId="0" applyFont="1" applyFill="1" applyBorder="1" applyAlignment="1">
      <alignment horizontal="center" vertical="center"/>
    </xf>
    <xf numFmtId="0" fontId="15" fillId="19" borderId="1" xfId="0" applyFont="1" applyFill="1" applyBorder="1" applyAlignment="1">
      <alignment horizontal="left" vertical="center"/>
    </xf>
    <xf numFmtId="0" fontId="22" fillId="18" borderId="1" xfId="0" applyFont="1" applyFill="1" applyBorder="1" applyAlignment="1">
      <alignment horizontal="left" vertical="center" wrapText="1"/>
    </xf>
    <xf numFmtId="0" fontId="22" fillId="7" borderId="1" xfId="0" applyFont="1" applyFill="1" applyBorder="1" applyAlignment="1">
      <alignment horizontal="left" vertical="center" wrapText="1"/>
    </xf>
    <xf numFmtId="0" fontId="15" fillId="0" borderId="0" xfId="0" applyFont="1" applyFill="1" applyBorder="1" applyAlignment="1">
      <alignment horizontal="center" vertical="center"/>
    </xf>
    <xf numFmtId="0" fontId="22" fillId="0" borderId="0" xfId="0" applyFont="1" applyFill="1" applyBorder="1" applyAlignment="1">
      <alignment horizontal="center" vertical="center" readingOrder="1"/>
    </xf>
    <xf numFmtId="0" fontId="22" fillId="0" borderId="0" xfId="0" applyFont="1" applyFill="1" applyBorder="1" applyAlignment="1">
      <alignment horizontal="center" vertical="center" wrapText="1" readingOrder="1"/>
    </xf>
    <xf numFmtId="0" fontId="13" fillId="20" borderId="0" xfId="0" applyFont="1" applyFill="1">
      <alignment vertical="center"/>
    </xf>
    <xf numFmtId="0" fontId="22" fillId="0" borderId="0" xfId="0" applyFont="1">
      <alignment vertical="center"/>
    </xf>
    <xf numFmtId="0" fontId="22" fillId="0" borderId="0" xfId="0" applyFont="1" applyAlignment="1">
      <alignment horizontal="left" vertical="center"/>
    </xf>
    <xf numFmtId="0" fontId="22" fillId="0" borderId="0" xfId="0" applyFont="1" applyFill="1">
      <alignment vertical="center"/>
    </xf>
    <xf numFmtId="0" fontId="13" fillId="17" borderId="0" xfId="0" applyFont="1" applyFill="1">
      <alignment vertical="center"/>
    </xf>
    <xf numFmtId="49" fontId="13" fillId="0" borderId="0" xfId="1" applyNumberFormat="1" applyFont="1" applyBorder="1" applyAlignment="1">
      <alignment vertical="center"/>
    </xf>
    <xf numFmtId="176" fontId="22" fillId="7" borderId="1" xfId="0" applyNumberFormat="1" applyFont="1" applyFill="1" applyBorder="1" applyAlignment="1">
      <alignment horizontal="right" vertical="center"/>
    </xf>
    <xf numFmtId="49" fontId="13" fillId="0" borderId="0" xfId="1" applyNumberFormat="1" applyFont="1" applyFill="1" applyBorder="1" applyAlignment="1">
      <alignment vertical="center"/>
    </xf>
    <xf numFmtId="49" fontId="13" fillId="0" borderId="0" xfId="1" applyNumberFormat="1" applyFont="1" applyFill="1" applyBorder="1" applyAlignment="1">
      <alignment horizontal="left" vertical="center"/>
    </xf>
    <xf numFmtId="0" fontId="0" fillId="18" borderId="1" xfId="0" applyFill="1" applyBorder="1">
      <alignment vertical="center"/>
    </xf>
    <xf numFmtId="0" fontId="0" fillId="7" borderId="1" xfId="0" applyFill="1" applyBorder="1">
      <alignment vertical="center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4" fillId="2" borderId="2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5" fillId="0" borderId="5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0" fontId="22" fillId="7" borderId="1" xfId="0" applyFont="1" applyFill="1" applyBorder="1" applyAlignment="1">
      <alignment horizontal="center" vertical="center"/>
    </xf>
    <xf numFmtId="0" fontId="22" fillId="0" borderId="15" xfId="0" applyFont="1" applyFill="1" applyBorder="1" applyAlignment="1">
      <alignment horizontal="center" vertical="top" wrapText="1" readingOrder="1"/>
    </xf>
    <xf numFmtId="0" fontId="22" fillId="0" borderId="14" xfId="0" applyFont="1" applyFill="1" applyBorder="1" applyAlignment="1">
      <alignment horizontal="center" vertical="top" wrapText="1" readingOrder="1"/>
    </xf>
    <xf numFmtId="0" fontId="22" fillId="0" borderId="16" xfId="0" applyFont="1" applyFill="1" applyBorder="1" applyAlignment="1">
      <alignment horizontal="center" vertical="top" wrapText="1" readingOrder="1"/>
    </xf>
    <xf numFmtId="0" fontId="0" fillId="0" borderId="15" xfId="0" applyFill="1" applyBorder="1" applyAlignment="1">
      <alignment horizontal="left" vertical="top" wrapText="1"/>
    </xf>
    <xf numFmtId="0" fontId="0" fillId="0" borderId="14" xfId="0" applyFill="1" applyBorder="1" applyAlignment="1">
      <alignment horizontal="left" vertical="top"/>
    </xf>
    <xf numFmtId="0" fontId="0" fillId="0" borderId="16" xfId="0" applyFill="1" applyBorder="1" applyAlignment="1">
      <alignment horizontal="left" vertical="top"/>
    </xf>
    <xf numFmtId="0" fontId="22" fillId="0" borderId="15" xfId="0" applyFont="1" applyFill="1" applyBorder="1" applyAlignment="1">
      <alignment horizontal="center" vertical="center" readingOrder="1"/>
    </xf>
    <xf numFmtId="0" fontId="22" fillId="0" borderId="14" xfId="0" applyFont="1" applyFill="1" applyBorder="1" applyAlignment="1">
      <alignment horizontal="center" vertical="center" readingOrder="1"/>
    </xf>
    <xf numFmtId="0" fontId="22" fillId="0" borderId="16" xfId="0" applyFont="1" applyFill="1" applyBorder="1" applyAlignment="1">
      <alignment horizontal="center" vertical="center" readingOrder="1"/>
    </xf>
    <xf numFmtId="0" fontId="22" fillId="0" borderId="15" xfId="0" applyFont="1" applyFill="1" applyBorder="1" applyAlignment="1">
      <alignment horizontal="center" vertical="center" wrapText="1" readingOrder="1"/>
    </xf>
    <xf numFmtId="0" fontId="22" fillId="0" borderId="14" xfId="0" applyFont="1" applyFill="1" applyBorder="1" applyAlignment="1">
      <alignment horizontal="center" vertical="center" wrapText="1" readingOrder="1"/>
    </xf>
    <xf numFmtId="0" fontId="22" fillId="0" borderId="16" xfId="0" applyFont="1" applyFill="1" applyBorder="1" applyAlignment="1">
      <alignment horizontal="center" vertical="center" wrapText="1" readingOrder="1"/>
    </xf>
    <xf numFmtId="0" fontId="22" fillId="18" borderId="1" xfId="0" applyFont="1" applyFill="1" applyBorder="1" applyAlignment="1">
      <alignment horizontal="center" vertical="center"/>
    </xf>
    <xf numFmtId="0" fontId="13" fillId="0" borderId="15" xfId="0" applyFont="1" applyFill="1" applyBorder="1" applyAlignment="1">
      <alignment horizontal="center" vertical="center"/>
    </xf>
    <xf numFmtId="0" fontId="13" fillId="0" borderId="14" xfId="0" applyFont="1" applyFill="1" applyBorder="1" applyAlignment="1">
      <alignment horizontal="center" vertical="center"/>
    </xf>
    <xf numFmtId="0" fontId="13" fillId="0" borderId="16" xfId="0" applyFont="1" applyFill="1" applyBorder="1" applyAlignment="1">
      <alignment horizontal="center" vertical="center"/>
    </xf>
    <xf numFmtId="0" fontId="0" fillId="0" borderId="0" xfId="0" quotePrefix="1" applyAlignment="1">
      <alignment horizontal="left" vertical="top" wrapText="1"/>
    </xf>
    <xf numFmtId="0" fontId="10" fillId="0" borderId="2" xfId="0" applyFont="1" applyFill="1" applyBorder="1" applyAlignment="1">
      <alignment horizontal="center" vertical="center" wrapText="1"/>
    </xf>
    <xf numFmtId="0" fontId="10" fillId="0" borderId="2" xfId="0" applyFont="1" applyFill="1" applyBorder="1" applyAlignment="1">
      <alignment vertical="center" wrapText="1"/>
    </xf>
    <xf numFmtId="176" fontId="10" fillId="0" borderId="2" xfId="0" applyNumberFormat="1" applyFont="1" applyFill="1" applyBorder="1" applyAlignment="1">
      <alignment horizontal="right" vertical="center"/>
    </xf>
    <xf numFmtId="176" fontId="16" fillId="0" borderId="2" xfId="0" applyNumberFormat="1" applyFont="1" applyFill="1" applyBorder="1" applyAlignment="1">
      <alignment horizontal="right" vertical="center"/>
    </xf>
  </cellXfs>
  <cellStyles count="5">
    <cellStyle name="표준" xfId="0" builtinId="0"/>
    <cellStyle name="표준 2" xfId="2"/>
    <cellStyle name="표준 2 2" xfId="3"/>
    <cellStyle name="표준 3" xfId="1"/>
    <cellStyle name="하이퍼링크" xfId="4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8!coxzclx@wagv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mailto:8!coxzclx@wagv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59999389629810485"/>
  </sheetPr>
  <dimension ref="C1:N68"/>
  <sheetViews>
    <sheetView topLeftCell="G31" zoomScale="85" zoomScaleNormal="85" workbookViewId="0">
      <selection activeCell="L60" sqref="L6:L60"/>
    </sheetView>
  </sheetViews>
  <sheetFormatPr defaultColWidth="8.69921875" defaultRowHeight="17.399999999999999"/>
  <cols>
    <col min="1" max="2" width="8.69921875" style="53"/>
    <col min="3" max="3" width="6.69921875" style="53" bestFit="1" customWidth="1"/>
    <col min="4" max="4" width="10.19921875" style="53" bestFit="1" customWidth="1"/>
    <col min="5" max="5" width="6.69921875" style="53" bestFit="1" customWidth="1"/>
    <col min="6" max="6" width="14.5" style="53" bestFit="1" customWidth="1"/>
    <col min="7" max="7" width="27.3984375" style="53" bestFit="1" customWidth="1"/>
    <col min="8" max="8" width="29" style="53" bestFit="1" customWidth="1"/>
    <col min="9" max="9" width="36.3984375" style="53" bestFit="1" customWidth="1"/>
    <col min="10" max="10" width="4.09765625" style="53" customWidth="1"/>
    <col min="11" max="11" width="36.3984375" style="53" bestFit="1" customWidth="1"/>
    <col min="12" max="12" width="115.09765625" style="53" bestFit="1" customWidth="1"/>
    <col min="13" max="13" width="98.8984375" style="53" customWidth="1"/>
    <col min="14" max="14" width="12" style="53" bestFit="1" customWidth="1"/>
    <col min="15" max="16384" width="8.69921875" style="53"/>
  </cols>
  <sheetData>
    <row r="1" spans="3:13" ht="87" customHeight="1">
      <c r="L1" s="135" t="s">
        <v>610</v>
      </c>
    </row>
    <row r="2" spans="3:13" ht="73.2" customHeight="1">
      <c r="L2" s="136"/>
    </row>
    <row r="3" spans="3:13" ht="91.2" customHeight="1">
      <c r="L3" s="136"/>
    </row>
    <row r="5" spans="3:13" ht="18" thickBot="1"/>
    <row r="6" spans="3:13" ht="19.2">
      <c r="C6" s="54" t="s">
        <v>0</v>
      </c>
      <c r="D6" s="55" t="s">
        <v>1</v>
      </c>
      <c r="E6" s="55" t="s">
        <v>2</v>
      </c>
      <c r="F6" s="56" t="s">
        <v>547</v>
      </c>
      <c r="G6" s="56" t="s">
        <v>548</v>
      </c>
      <c r="H6" s="56" t="s">
        <v>330</v>
      </c>
      <c r="I6" s="57" t="s">
        <v>332</v>
      </c>
      <c r="J6" s="57"/>
      <c r="K6" s="57" t="s">
        <v>584</v>
      </c>
    </row>
    <row r="7" spans="3:13">
      <c r="C7" s="58" t="s">
        <v>3</v>
      </c>
      <c r="D7" s="59" t="s">
        <v>549</v>
      </c>
      <c r="E7" s="59" t="s">
        <v>5</v>
      </c>
      <c r="F7" s="60" t="s">
        <v>333</v>
      </c>
      <c r="G7" s="60" t="s">
        <v>334</v>
      </c>
      <c r="H7" s="60" t="s">
        <v>605</v>
      </c>
      <c r="I7" s="61" t="s">
        <v>337</v>
      </c>
      <c r="J7" s="61"/>
      <c r="K7" s="62" t="s">
        <v>604</v>
      </c>
      <c r="L7" s="85" t="str">
        <f>M7&amp;K7</f>
        <v>mysql --ssl-mode=DISABLED --get-server-public-key -ulrm_chunjae  -p'@anxkfrleh25!$' -hdb-30l6ds-kr1.vpc-cdb.gov-ntruss.com</v>
      </c>
      <c r="M7" s="86" t="s">
        <v>607</v>
      </c>
    </row>
    <row r="8" spans="3:13">
      <c r="C8" s="58" t="s">
        <v>3</v>
      </c>
      <c r="D8" s="64" t="s">
        <v>6</v>
      </c>
      <c r="E8" s="64" t="s">
        <v>5</v>
      </c>
      <c r="F8" s="60" t="s">
        <v>338</v>
      </c>
      <c r="G8" s="60" t="s">
        <v>339</v>
      </c>
      <c r="H8" s="60" t="s">
        <v>340</v>
      </c>
      <c r="I8" s="61" t="s">
        <v>341</v>
      </c>
      <c r="J8" s="61"/>
      <c r="K8" s="62" t="s">
        <v>591</v>
      </c>
      <c r="L8" s="85" t="str">
        <f t="shared" ref="L8:L56" si="0">M8&amp;K8</f>
        <v>mysql --ssl-mode=DISABLED --get-server-public-key -ulrm_chunjae  -p'@anxkfrleh25!$' -hdb-30lds3-kr1.vpc-cdb.gov-ntruss.com</v>
      </c>
      <c r="M8" s="86" t="s">
        <v>607</v>
      </c>
    </row>
    <row r="9" spans="3:13">
      <c r="C9" s="58" t="s">
        <v>3</v>
      </c>
      <c r="D9" s="59" t="s">
        <v>4</v>
      </c>
      <c r="E9" s="59" t="s">
        <v>7</v>
      </c>
      <c r="F9" s="60" t="s">
        <v>342</v>
      </c>
      <c r="G9" s="60" t="s">
        <v>343</v>
      </c>
      <c r="H9" s="60" t="s">
        <v>344</v>
      </c>
      <c r="I9" s="61" t="s">
        <v>346</v>
      </c>
      <c r="J9" s="61"/>
      <c r="K9" s="62" t="s">
        <v>587</v>
      </c>
      <c r="L9" s="85" t="str">
        <f t="shared" si="0"/>
        <v>mysql --ssl-mode=DISABLED --get-server-public-key -ulrm_chunjae  -p'@anxkfrleh25!$' -hdb-30le0f-kr1.vpc-cdb.gov-ntruss.com</v>
      </c>
      <c r="M9" s="86" t="s">
        <v>606</v>
      </c>
    </row>
    <row r="10" spans="3:13">
      <c r="C10" s="58" t="s">
        <v>3</v>
      </c>
      <c r="D10" s="59" t="s">
        <v>6</v>
      </c>
      <c r="E10" s="59" t="s">
        <v>7</v>
      </c>
      <c r="F10" s="60" t="s">
        <v>347</v>
      </c>
      <c r="G10" s="60" t="s">
        <v>348</v>
      </c>
      <c r="H10" s="60" t="s">
        <v>349</v>
      </c>
      <c r="I10" s="61" t="s">
        <v>350</v>
      </c>
      <c r="J10" s="61"/>
      <c r="K10" s="62" t="s">
        <v>589</v>
      </c>
      <c r="L10" s="85" t="str">
        <f t="shared" si="0"/>
        <v>mysql --ssl-mode=DISABLED --get-server-public-key -ulrm_chunjae  -p'@anxkfrleh25!$' -hdb-30le5t-kr1.vpc-cdb.gov-ntruss.com</v>
      </c>
      <c r="M10" s="86" t="s">
        <v>606</v>
      </c>
    </row>
    <row r="11" spans="3:13">
      <c r="C11" s="58" t="s">
        <v>3</v>
      </c>
      <c r="D11" s="59" t="s">
        <v>4</v>
      </c>
      <c r="E11" s="59" t="s">
        <v>8</v>
      </c>
      <c r="F11" s="60" t="s">
        <v>351</v>
      </c>
      <c r="G11" s="60" t="s">
        <v>352</v>
      </c>
      <c r="H11" s="60" t="s">
        <v>353</v>
      </c>
      <c r="I11" s="61" t="s">
        <v>355</v>
      </c>
      <c r="J11" s="61"/>
      <c r="K11" s="62" t="s">
        <v>592</v>
      </c>
      <c r="L11" s="85" t="str">
        <f t="shared" si="0"/>
        <v>mysql --ssl-mode=DISABLED --get-server-public-key -ulrm_chunjae  -p'@anxkfrleh25!$' -hdb-30leaq-kr1.vpc-cdb.gov-ntruss.com</v>
      </c>
      <c r="M11" s="86" t="s">
        <v>606</v>
      </c>
    </row>
    <row r="12" spans="3:13">
      <c r="C12" s="58" t="s">
        <v>3</v>
      </c>
      <c r="D12" s="59" t="s">
        <v>6</v>
      </c>
      <c r="E12" s="59" t="s">
        <v>8</v>
      </c>
      <c r="F12" s="60" t="s">
        <v>356</v>
      </c>
      <c r="G12" s="60" t="s">
        <v>357</v>
      </c>
      <c r="H12" s="60" t="s">
        <v>358</v>
      </c>
      <c r="I12" s="61" t="s">
        <v>359</v>
      </c>
      <c r="J12" s="61"/>
      <c r="K12" s="62" t="s">
        <v>594</v>
      </c>
      <c r="L12" s="85" t="str">
        <f t="shared" si="0"/>
        <v>mysql --ssl-mode=DISABLED --get-server-public-key -ulrm_chunjae  -p'@anxkfrleh25!$' -hdb-30led5-kr1.vpc-cdb.gov-ntruss.com</v>
      </c>
      <c r="M12" s="86" t="s">
        <v>606</v>
      </c>
    </row>
    <row r="13" spans="3:13">
      <c r="C13" s="65" t="s">
        <v>9</v>
      </c>
      <c r="D13" s="59" t="s">
        <v>10</v>
      </c>
      <c r="E13" s="59" t="s">
        <v>11</v>
      </c>
      <c r="F13" s="60" t="s">
        <v>360</v>
      </c>
      <c r="G13" s="60" t="s">
        <v>361</v>
      </c>
      <c r="H13" s="60" t="s">
        <v>362</v>
      </c>
      <c r="I13" s="61" t="s">
        <v>364</v>
      </c>
      <c r="J13" s="61"/>
      <c r="K13" s="62" t="s">
        <v>596</v>
      </c>
      <c r="L13" s="85" t="str">
        <f>M13&amp;K13</f>
        <v>mysql --ssl-mode=DISABLED --get-server-public-key -ulrm_chunjae  -p'@anxkfrleh25!$' -hdb-30lehd-kr1.vpc-cdb.gov-ntruss.com</v>
      </c>
      <c r="M13" s="87" t="s">
        <v>606</v>
      </c>
    </row>
    <row r="14" spans="3:13">
      <c r="C14" s="65" t="s">
        <v>365</v>
      </c>
      <c r="D14" s="59" t="s">
        <v>468</v>
      </c>
      <c r="E14" s="59" t="s">
        <v>13</v>
      </c>
      <c r="F14" s="60" t="s">
        <v>366</v>
      </c>
      <c r="G14" s="60" t="s">
        <v>367</v>
      </c>
      <c r="H14" s="60" t="s">
        <v>368</v>
      </c>
      <c r="I14" s="61" t="s">
        <v>370</v>
      </c>
      <c r="J14" s="61"/>
      <c r="K14" s="62" t="s">
        <v>598</v>
      </c>
      <c r="L14" s="85" t="str">
        <f t="shared" si="0"/>
        <v>mysql --ssl-mode=DISABLED --get-server-public-key -ulrm_chunjae  -p'@anxkfrleh25!$' -hdb-30leir-kr1.vpc-cdb.gov-ntruss.com</v>
      </c>
      <c r="M14" s="87" t="s">
        <v>606</v>
      </c>
    </row>
    <row r="15" spans="3:13">
      <c r="C15" s="66" t="s">
        <v>14</v>
      </c>
      <c r="D15" s="67" t="s">
        <v>15</v>
      </c>
      <c r="E15" s="67" t="s">
        <v>16</v>
      </c>
      <c r="F15" s="68" t="s">
        <v>371</v>
      </c>
      <c r="G15" s="68" t="s">
        <v>372</v>
      </c>
      <c r="H15" s="68" t="s">
        <v>373</v>
      </c>
      <c r="I15" s="69" t="s">
        <v>375</v>
      </c>
      <c r="J15" s="69"/>
      <c r="K15" s="70"/>
      <c r="M15" s="87" t="s">
        <v>606</v>
      </c>
    </row>
    <row r="16" spans="3:13">
      <c r="C16" s="66" t="s">
        <v>14</v>
      </c>
      <c r="D16" s="67" t="s">
        <v>17</v>
      </c>
      <c r="E16" s="67" t="s">
        <v>16</v>
      </c>
      <c r="F16" s="68" t="s">
        <v>376</v>
      </c>
      <c r="G16" s="68" t="s">
        <v>377</v>
      </c>
      <c r="H16" s="68" t="s">
        <v>378</v>
      </c>
      <c r="I16" s="69" t="s">
        <v>379</v>
      </c>
      <c r="J16" s="69"/>
      <c r="K16" s="70"/>
      <c r="M16" s="87" t="s">
        <v>606</v>
      </c>
    </row>
    <row r="17" spans="3:14">
      <c r="C17" s="66" t="s">
        <v>14</v>
      </c>
      <c r="D17" s="67" t="s">
        <v>15</v>
      </c>
      <c r="E17" s="67" t="s">
        <v>18</v>
      </c>
      <c r="F17" s="68" t="s">
        <v>380</v>
      </c>
      <c r="G17" s="68" t="s">
        <v>381</v>
      </c>
      <c r="H17" s="68" t="s">
        <v>382</v>
      </c>
      <c r="I17" s="69" t="s">
        <v>384</v>
      </c>
      <c r="J17" s="69"/>
      <c r="K17" s="70"/>
      <c r="M17" s="87" t="s">
        <v>606</v>
      </c>
    </row>
    <row r="18" spans="3:14">
      <c r="C18" s="66" t="s">
        <v>14</v>
      </c>
      <c r="D18" s="67" t="s">
        <v>17</v>
      </c>
      <c r="E18" s="67" t="s">
        <v>18</v>
      </c>
      <c r="F18" s="68" t="s">
        <v>385</v>
      </c>
      <c r="G18" s="68" t="s">
        <v>386</v>
      </c>
      <c r="H18" s="68" t="s">
        <v>387</v>
      </c>
      <c r="I18" s="69" t="s">
        <v>388</v>
      </c>
      <c r="J18" s="69"/>
      <c r="K18" s="70"/>
      <c r="M18" s="87" t="s">
        <v>606</v>
      </c>
      <c r="N18" s="88" t="s">
        <v>628</v>
      </c>
    </row>
    <row r="19" spans="3:14">
      <c r="C19" s="58" t="s">
        <v>3</v>
      </c>
      <c r="D19" s="59" t="s">
        <v>389</v>
      </c>
      <c r="E19" s="59" t="s">
        <v>19</v>
      </c>
      <c r="F19" s="60" t="s">
        <v>552</v>
      </c>
      <c r="G19" s="60" t="s">
        <v>390</v>
      </c>
      <c r="H19" s="60" t="s">
        <v>391</v>
      </c>
      <c r="I19" s="61" t="s">
        <v>393</v>
      </c>
      <c r="J19" s="61"/>
      <c r="K19" s="62" t="s">
        <v>600</v>
      </c>
      <c r="L19" s="85" t="str">
        <f t="shared" si="0"/>
        <v>mysql --ssl-mode=DISABLED --get-server-public-key -ulrm_chunjae  -p'@anxkfrleh25!$' -hdb-30lejo-kr1.vpc-cdb.gov-ntruss.com</v>
      </c>
      <c r="M19" s="87" t="s">
        <v>606</v>
      </c>
      <c r="N19" s="88" t="s">
        <v>629</v>
      </c>
    </row>
    <row r="20" spans="3:14">
      <c r="C20" s="58" t="s">
        <v>553</v>
      </c>
      <c r="D20" s="71" t="s">
        <v>394</v>
      </c>
      <c r="E20" s="71" t="s">
        <v>19</v>
      </c>
      <c r="F20" s="72" t="s">
        <v>554</v>
      </c>
      <c r="G20" s="73" t="s">
        <v>555</v>
      </c>
      <c r="H20" s="73" t="s">
        <v>266</v>
      </c>
      <c r="I20" s="74" t="s">
        <v>557</v>
      </c>
      <c r="J20" s="74"/>
      <c r="K20" s="62" t="s">
        <v>602</v>
      </c>
      <c r="L20" s="85" t="str">
        <f t="shared" si="0"/>
        <v>mysql --ssl-mode=DISABLED --get-server-public-key -ulrm_chunjae  -p'@anxkfrleh25!$' -hdb-30lekl-kr1.vpc-cdb.gov-ntruss.com</v>
      </c>
      <c r="M20" s="87" t="s">
        <v>606</v>
      </c>
      <c r="N20" s="88" t="s">
        <v>630</v>
      </c>
    </row>
    <row r="21" spans="3:14">
      <c r="C21" s="58" t="s">
        <v>3</v>
      </c>
      <c r="D21" s="59" t="s">
        <v>395</v>
      </c>
      <c r="E21" s="59" t="s">
        <v>19</v>
      </c>
      <c r="F21" s="60" t="s">
        <v>558</v>
      </c>
      <c r="G21" s="60" t="s">
        <v>396</v>
      </c>
      <c r="H21" s="60" t="s">
        <v>397</v>
      </c>
      <c r="I21" s="61" t="s">
        <v>398</v>
      </c>
      <c r="J21" s="61"/>
      <c r="K21" s="89" t="s">
        <v>611</v>
      </c>
      <c r="L21" s="85" t="str">
        <f t="shared" si="0"/>
        <v>mysql --ssl-mode=DISABLED --get-server-public-key -ulrm_chunjae  -p'@anxkfrleh25!$' -hdb-30lk7s-kr1.vpc-cdb.gov-ntruss.com</v>
      </c>
      <c r="M21" s="87" t="s">
        <v>606</v>
      </c>
      <c r="N21" s="88" t="s">
        <v>631</v>
      </c>
    </row>
    <row r="22" spans="3:14">
      <c r="C22" s="58" t="s">
        <v>3</v>
      </c>
      <c r="D22" s="71" t="s">
        <v>502</v>
      </c>
      <c r="E22" s="71" t="s">
        <v>19</v>
      </c>
      <c r="F22" s="72" t="s">
        <v>582</v>
      </c>
      <c r="G22" s="73" t="s">
        <v>300</v>
      </c>
      <c r="H22" s="73" t="s">
        <v>559</v>
      </c>
      <c r="I22" s="74" t="s">
        <v>583</v>
      </c>
      <c r="J22" s="74"/>
      <c r="K22" s="89" t="s">
        <v>612</v>
      </c>
      <c r="L22" s="85" t="str">
        <f t="shared" si="0"/>
        <v>mysql --ssl-mode=DISABLED --get-server-public-key -ulrm_chunjae  -p'@anxkfrleh25!$' -hdb-30lk8r-kr1.vpc-cdb.gov-ntruss.com</v>
      </c>
      <c r="M22" s="87" t="s">
        <v>606</v>
      </c>
      <c r="N22" s="88" t="s">
        <v>632</v>
      </c>
    </row>
    <row r="23" spans="3:14">
      <c r="C23" s="58" t="s">
        <v>3</v>
      </c>
      <c r="D23" s="59" t="s">
        <v>389</v>
      </c>
      <c r="E23" s="59" t="s">
        <v>22</v>
      </c>
      <c r="F23" s="60" t="s">
        <v>560</v>
      </c>
      <c r="G23" s="60" t="s">
        <v>400</v>
      </c>
      <c r="H23" s="60" t="s">
        <v>401</v>
      </c>
      <c r="I23" s="61" t="s">
        <v>403</v>
      </c>
      <c r="J23" s="61"/>
      <c r="K23" s="89" t="s">
        <v>613</v>
      </c>
      <c r="L23" s="85" t="str">
        <f t="shared" si="0"/>
        <v>mysql --ssl-mode=DISABLED --get-server-public-key -ulrm_chunjae  -p'@anxkfrleh25!$' -hdb-30lk9v-kr1.vpc-cdb.gov-ntruss.com</v>
      </c>
      <c r="M23" s="87" t="s">
        <v>606</v>
      </c>
      <c r="N23" s="88" t="s">
        <v>633</v>
      </c>
    </row>
    <row r="24" spans="3:14">
      <c r="C24" s="58" t="s">
        <v>3</v>
      </c>
      <c r="D24" s="71" t="s">
        <v>394</v>
      </c>
      <c r="E24" s="71" t="s">
        <v>404</v>
      </c>
      <c r="F24" s="72" t="s">
        <v>561</v>
      </c>
      <c r="G24" s="73" t="s">
        <v>562</v>
      </c>
      <c r="H24" s="73" t="s">
        <v>273</v>
      </c>
      <c r="I24" s="74" t="s">
        <v>564</v>
      </c>
      <c r="J24" s="74"/>
      <c r="K24" s="89" t="s">
        <v>614</v>
      </c>
      <c r="L24" s="85" t="str">
        <f t="shared" si="0"/>
        <v>mysql --ssl-mode=DISABLED --get-server-public-key -ulrm_chunjae  -p'@anxkfrleh25!$' -hdb-30lkat-kr1.vpc-cdb.gov-ntruss.com</v>
      </c>
      <c r="M24" s="87" t="s">
        <v>606</v>
      </c>
    </row>
    <row r="25" spans="3:14">
      <c r="C25" s="58" t="s">
        <v>3</v>
      </c>
      <c r="D25" s="59" t="s">
        <v>395</v>
      </c>
      <c r="E25" s="59" t="s">
        <v>404</v>
      </c>
      <c r="F25" s="60" t="s">
        <v>565</v>
      </c>
      <c r="G25" s="60" t="s">
        <v>406</v>
      </c>
      <c r="H25" s="60" t="s">
        <v>407</v>
      </c>
      <c r="I25" s="61" t="s">
        <v>408</v>
      </c>
      <c r="J25" s="61"/>
      <c r="K25" s="89" t="s">
        <v>615</v>
      </c>
      <c r="L25" s="85" t="str">
        <f t="shared" si="0"/>
        <v>mysql --ssl-mode=DISABLED --get-server-public-key -ulrm_chunjae  -p'@anxkfrleh25!$' -hdb-30lkbn-kr1.vpc-cdb.gov-ntruss.com</v>
      </c>
      <c r="M25" s="87" t="s">
        <v>606</v>
      </c>
    </row>
    <row r="26" spans="3:14">
      <c r="C26" s="58" t="s">
        <v>3</v>
      </c>
      <c r="D26" s="71" t="s">
        <v>566</v>
      </c>
      <c r="E26" s="71" t="s">
        <v>404</v>
      </c>
      <c r="F26" s="72" t="s">
        <v>410</v>
      </c>
      <c r="G26" s="73" t="s">
        <v>276</v>
      </c>
      <c r="H26" s="73" t="s">
        <v>568</v>
      </c>
      <c r="I26" s="74" t="s">
        <v>569</v>
      </c>
      <c r="J26" s="74"/>
      <c r="K26" s="89" t="s">
        <v>616</v>
      </c>
      <c r="L26" s="85" t="str">
        <f t="shared" si="0"/>
        <v>mysql --ssl-mode=DISABLED --get-server-public-key -ulrm_chunjae  -p'@anxkfrleh25!$' -hdb-30lkch-kr1.vpc-cdb.gov-ntruss.com</v>
      </c>
      <c r="M26" s="87" t="s">
        <v>606</v>
      </c>
    </row>
    <row r="27" spans="3:14">
      <c r="C27" s="65" t="s">
        <v>9</v>
      </c>
      <c r="D27" s="59" t="s">
        <v>23</v>
      </c>
      <c r="E27" s="59" t="s">
        <v>24</v>
      </c>
      <c r="F27" s="60" t="s">
        <v>411</v>
      </c>
      <c r="G27" s="60" t="s">
        <v>412</v>
      </c>
      <c r="H27" s="60" t="s">
        <v>413</v>
      </c>
      <c r="I27" s="61" t="s">
        <v>415</v>
      </c>
      <c r="J27" s="61"/>
      <c r="K27" s="89" t="s">
        <v>617</v>
      </c>
      <c r="L27" s="85" t="str">
        <f t="shared" si="0"/>
        <v>mysql --ssl-mode=DISABLED --get-server-public-key -ulrm_chunjae  -p'@anxkfrleh25!$' -hdb-30lkdi-kr1.vpc-cdb.gov-ntruss.com</v>
      </c>
      <c r="M27" s="87" t="s">
        <v>606</v>
      </c>
    </row>
    <row r="28" spans="3:14">
      <c r="C28" s="65" t="s">
        <v>9</v>
      </c>
      <c r="D28" s="59" t="s">
        <v>23</v>
      </c>
      <c r="E28" s="59" t="s">
        <v>25</v>
      </c>
      <c r="F28" s="60" t="s">
        <v>416</v>
      </c>
      <c r="G28" s="60" t="s">
        <v>417</v>
      </c>
      <c r="H28" s="60" t="s">
        <v>418</v>
      </c>
      <c r="I28" s="61" t="s">
        <v>420</v>
      </c>
      <c r="J28" s="61"/>
      <c r="K28" s="89" t="s">
        <v>618</v>
      </c>
      <c r="L28" s="85" t="str">
        <f t="shared" si="0"/>
        <v>mysql --ssl-mode=DISABLED --get-server-public-key -ulrm_chunjae  -p'@anxkfrleh25!$' -hdb-30lkeg-kr1.vpc-cdb.gov-ntruss.com</v>
      </c>
      <c r="M28" s="87" t="s">
        <v>606</v>
      </c>
    </row>
    <row r="29" spans="3:14">
      <c r="C29" s="66" t="s">
        <v>14</v>
      </c>
      <c r="D29" s="67" t="s">
        <v>26</v>
      </c>
      <c r="E29" s="67" t="s">
        <v>27</v>
      </c>
      <c r="F29" s="68" t="s">
        <v>421</v>
      </c>
      <c r="G29" s="68" t="s">
        <v>422</v>
      </c>
      <c r="H29" s="68" t="s">
        <v>423</v>
      </c>
      <c r="I29" s="69" t="s">
        <v>425</v>
      </c>
      <c r="J29" s="69"/>
      <c r="K29" s="70"/>
      <c r="M29" s="87" t="s">
        <v>606</v>
      </c>
    </row>
    <row r="30" spans="3:14">
      <c r="C30" s="66" t="s">
        <v>14</v>
      </c>
      <c r="D30" s="67" t="s">
        <v>28</v>
      </c>
      <c r="E30" s="67" t="s">
        <v>27</v>
      </c>
      <c r="F30" s="68" t="s">
        <v>426</v>
      </c>
      <c r="G30" s="68" t="s">
        <v>427</v>
      </c>
      <c r="H30" s="68" t="s">
        <v>428</v>
      </c>
      <c r="I30" s="69" t="s">
        <v>429</v>
      </c>
      <c r="J30" s="69"/>
      <c r="K30" s="70"/>
      <c r="M30" s="87" t="s">
        <v>606</v>
      </c>
    </row>
    <row r="31" spans="3:14">
      <c r="C31" s="66" t="s">
        <v>14</v>
      </c>
      <c r="D31" s="67" t="s">
        <v>26</v>
      </c>
      <c r="E31" s="67" t="s">
        <v>29</v>
      </c>
      <c r="F31" s="68" t="s">
        <v>430</v>
      </c>
      <c r="G31" s="68" t="s">
        <v>431</v>
      </c>
      <c r="H31" s="68" t="s">
        <v>432</v>
      </c>
      <c r="I31" s="69" t="s">
        <v>434</v>
      </c>
      <c r="J31" s="69"/>
      <c r="K31" s="70"/>
      <c r="M31" s="87" t="s">
        <v>606</v>
      </c>
    </row>
    <row r="32" spans="3:14" ht="18" thickBot="1">
      <c r="C32" s="75" t="s">
        <v>14</v>
      </c>
      <c r="D32" s="76" t="s">
        <v>28</v>
      </c>
      <c r="E32" s="76" t="s">
        <v>29</v>
      </c>
      <c r="F32" s="77" t="s">
        <v>435</v>
      </c>
      <c r="G32" s="77" t="s">
        <v>436</v>
      </c>
      <c r="H32" s="77" t="s">
        <v>437</v>
      </c>
      <c r="I32" s="78" t="s">
        <v>438</v>
      </c>
      <c r="J32" s="78"/>
      <c r="K32" s="79"/>
      <c r="M32" s="87" t="s">
        <v>606</v>
      </c>
    </row>
    <row r="33" spans="3:13" ht="18" thickBot="1">
      <c r="C33" s="80"/>
      <c r="D33" s="80"/>
      <c r="E33" s="81"/>
      <c r="F33" s="81"/>
      <c r="G33" s="81"/>
      <c r="H33" s="81"/>
      <c r="I33" s="81"/>
      <c r="J33" s="81"/>
      <c r="K33" s="81"/>
      <c r="M33" s="63"/>
    </row>
    <row r="34" spans="3:13" ht="19.2">
      <c r="C34" s="54" t="s">
        <v>0</v>
      </c>
      <c r="D34" s="82" t="s">
        <v>1</v>
      </c>
      <c r="E34" s="82" t="s">
        <v>2</v>
      </c>
      <c r="F34" s="83" t="s">
        <v>547</v>
      </c>
      <c r="G34" s="83" t="s">
        <v>439</v>
      </c>
      <c r="H34" s="83" t="s">
        <v>330</v>
      </c>
      <c r="I34" s="84" t="s">
        <v>332</v>
      </c>
      <c r="J34" s="84"/>
      <c r="K34" s="84" t="s">
        <v>332</v>
      </c>
      <c r="M34" s="63"/>
    </row>
    <row r="35" spans="3:13">
      <c r="C35" s="58" t="s">
        <v>3</v>
      </c>
      <c r="D35" s="59" t="s">
        <v>4</v>
      </c>
      <c r="E35" s="59" t="s">
        <v>5</v>
      </c>
      <c r="F35" s="60" t="s">
        <v>440</v>
      </c>
      <c r="G35" s="60" t="s">
        <v>441</v>
      </c>
      <c r="H35" s="60" t="s">
        <v>442</v>
      </c>
      <c r="I35" s="61" t="s">
        <v>304</v>
      </c>
      <c r="J35" s="61"/>
      <c r="K35" s="62" t="s">
        <v>585</v>
      </c>
      <c r="L35" s="85" t="str">
        <f>M35&amp;K35</f>
        <v>mysql --ssl-mode=DISABLED --get-server-public-key -ulrw_infra  -p'anxkfrleh25!%' -hdb-30l6ej-kr1.vpc-cdb.gov-ntruss.com</v>
      </c>
      <c r="M35" s="86" t="s">
        <v>609</v>
      </c>
    </row>
    <row r="36" spans="3:13">
      <c r="C36" s="58" t="s">
        <v>3</v>
      </c>
      <c r="D36" s="64" t="s">
        <v>6</v>
      </c>
      <c r="E36" s="64" t="s">
        <v>5</v>
      </c>
      <c r="F36" s="60" t="s">
        <v>444</v>
      </c>
      <c r="G36" s="60" t="s">
        <v>445</v>
      </c>
      <c r="H36" s="60" t="s">
        <v>446</v>
      </c>
      <c r="I36" s="61" t="s">
        <v>305</v>
      </c>
      <c r="J36" s="61"/>
      <c r="K36" s="62" t="s">
        <v>586</v>
      </c>
      <c r="L36" s="85" t="str">
        <f t="shared" si="0"/>
        <v>mysql --ssl-mode=DISABLED --get-server-public-key -ulrw_infra  -p'anxkfrleh25!%' -hdb-30ldsg-kr1.vpc-cdb.gov-ntruss.com</v>
      </c>
      <c r="M36" s="63" t="s">
        <v>609</v>
      </c>
    </row>
    <row r="37" spans="3:13">
      <c r="C37" s="58" t="s">
        <v>3</v>
      </c>
      <c r="D37" s="59" t="s">
        <v>4</v>
      </c>
      <c r="E37" s="59" t="s">
        <v>7</v>
      </c>
      <c r="F37" s="60" t="s">
        <v>447</v>
      </c>
      <c r="G37" s="60" t="s">
        <v>448</v>
      </c>
      <c r="H37" s="60" t="s">
        <v>449</v>
      </c>
      <c r="I37" s="61" t="s">
        <v>306</v>
      </c>
      <c r="J37" s="61"/>
      <c r="K37" s="62" t="s">
        <v>588</v>
      </c>
      <c r="L37" s="85" t="str">
        <f>M37&amp;K37</f>
        <v>mysql --ssl-mode=DISABLED --get-server-public-key -ulrw_infra  -p'anxkfrleh25!%' -hdb-30le0u-kr1.vpc-cdb.gov-ntruss.com</v>
      </c>
      <c r="M37" s="63" t="s">
        <v>608</v>
      </c>
    </row>
    <row r="38" spans="3:13">
      <c r="C38" s="58" t="s">
        <v>3</v>
      </c>
      <c r="D38" s="59" t="s">
        <v>6</v>
      </c>
      <c r="E38" s="59" t="s">
        <v>7</v>
      </c>
      <c r="F38" s="60" t="s">
        <v>451</v>
      </c>
      <c r="G38" s="60" t="s">
        <v>452</v>
      </c>
      <c r="H38" s="60" t="s">
        <v>453</v>
      </c>
      <c r="I38" s="61" t="s">
        <v>307</v>
      </c>
      <c r="J38" s="61"/>
      <c r="K38" s="62" t="s">
        <v>590</v>
      </c>
      <c r="L38" s="85" t="str">
        <f t="shared" si="0"/>
        <v>mysql --ssl-mode=DISABLED --get-server-public-key -ulrw_infra  -p'anxkfrleh25!%' -hdb-30le6c-kr1.vpc-cdb.gov-ntruss.com</v>
      </c>
      <c r="M38" s="63" t="s">
        <v>608</v>
      </c>
    </row>
    <row r="39" spans="3:13">
      <c r="C39" s="58" t="s">
        <v>3</v>
      </c>
      <c r="D39" s="59" t="s">
        <v>4</v>
      </c>
      <c r="E39" s="59" t="s">
        <v>8</v>
      </c>
      <c r="F39" s="60" t="s">
        <v>454</v>
      </c>
      <c r="G39" s="60" t="s">
        <v>455</v>
      </c>
      <c r="H39" s="60" t="s">
        <v>456</v>
      </c>
      <c r="I39" s="61" t="s">
        <v>458</v>
      </c>
      <c r="J39" s="61"/>
      <c r="K39" s="62" t="s">
        <v>593</v>
      </c>
      <c r="L39" s="85" t="str">
        <f t="shared" si="0"/>
        <v>mysql --ssl-mode=DISABLED --get-server-public-key -ulrw_infra  -p'anxkfrleh25!%' -hdb-30leba-kr1.vpc-cdb.gov-ntruss.com</v>
      </c>
      <c r="M39" s="63" t="s">
        <v>608</v>
      </c>
    </row>
    <row r="40" spans="3:13">
      <c r="C40" s="58" t="s">
        <v>3</v>
      </c>
      <c r="D40" s="59" t="s">
        <v>6</v>
      </c>
      <c r="E40" s="59" t="s">
        <v>8</v>
      </c>
      <c r="F40" s="60" t="s">
        <v>459</v>
      </c>
      <c r="G40" s="60" t="s">
        <v>460</v>
      </c>
      <c r="H40" s="60" t="s">
        <v>461</v>
      </c>
      <c r="I40" s="61" t="s">
        <v>462</v>
      </c>
      <c r="J40" s="61"/>
      <c r="K40" s="62" t="s">
        <v>595</v>
      </c>
      <c r="L40" s="85" t="str">
        <f t="shared" si="0"/>
        <v>mysql --ssl-mode=DISABLED --get-server-public-key -ulrw_infra  -p'anxkfrleh25!%' -hdb-30ledp-kr1.vpc-cdb.gov-ntruss.com</v>
      </c>
      <c r="M40" s="63" t="s">
        <v>608</v>
      </c>
    </row>
    <row r="41" spans="3:13">
      <c r="C41" s="65" t="s">
        <v>9</v>
      </c>
      <c r="D41" s="59" t="s">
        <v>468</v>
      </c>
      <c r="E41" s="59" t="s">
        <v>11</v>
      </c>
      <c r="F41" s="60" t="s">
        <v>463</v>
      </c>
      <c r="G41" s="60" t="s">
        <v>464</v>
      </c>
      <c r="H41" s="60" t="s">
        <v>465</v>
      </c>
      <c r="I41" s="61" t="s">
        <v>467</v>
      </c>
      <c r="J41" s="61"/>
      <c r="K41" s="62" t="s">
        <v>597</v>
      </c>
      <c r="L41" s="85" t="str">
        <f t="shared" si="0"/>
        <v>mysql --ssl-mode=DISABLED --get-server-public-key -ulrw_infra  -p'anxkfrleh25!%' -hdb-30lehr-kr1.vpc-cdb.gov-ntruss.com</v>
      </c>
      <c r="M41" s="63" t="s">
        <v>608</v>
      </c>
    </row>
    <row r="42" spans="3:13">
      <c r="C42" s="65" t="s">
        <v>365</v>
      </c>
      <c r="D42" s="59" t="s">
        <v>468</v>
      </c>
      <c r="E42" s="59" t="s">
        <v>13</v>
      </c>
      <c r="F42" s="60" t="s">
        <v>469</v>
      </c>
      <c r="G42" s="60" t="s">
        <v>470</v>
      </c>
      <c r="H42" s="60" t="s">
        <v>471</v>
      </c>
      <c r="I42" s="61" t="s">
        <v>473</v>
      </c>
      <c r="J42" s="61"/>
      <c r="K42" s="62" t="s">
        <v>599</v>
      </c>
      <c r="L42" s="85" t="str">
        <f t="shared" si="0"/>
        <v>mysql --ssl-mode=DISABLED --get-server-public-key -ulrw_infra  -p'anxkfrleh25!%' -hdb-30leja-kr1.vpc-cdb.gov-ntruss.com</v>
      </c>
      <c r="M42" s="63" t="s">
        <v>608</v>
      </c>
    </row>
    <row r="43" spans="3:13">
      <c r="C43" s="66" t="s">
        <v>14</v>
      </c>
      <c r="D43" s="67" t="s">
        <v>15</v>
      </c>
      <c r="E43" s="67" t="s">
        <v>16</v>
      </c>
      <c r="F43" s="68" t="s">
        <v>474</v>
      </c>
      <c r="G43" s="68" t="s">
        <v>475</v>
      </c>
      <c r="H43" s="68" t="s">
        <v>476</v>
      </c>
      <c r="I43" s="69" t="s">
        <v>478</v>
      </c>
      <c r="J43" s="69"/>
      <c r="K43" s="70"/>
      <c r="M43" s="63" t="s">
        <v>608</v>
      </c>
    </row>
    <row r="44" spans="3:13">
      <c r="C44" s="66" t="s">
        <v>14</v>
      </c>
      <c r="D44" s="67" t="s">
        <v>17</v>
      </c>
      <c r="E44" s="67" t="s">
        <v>16</v>
      </c>
      <c r="F44" s="68" t="s">
        <v>479</v>
      </c>
      <c r="G44" s="68" t="s">
        <v>480</v>
      </c>
      <c r="H44" s="68" t="s">
        <v>481</v>
      </c>
      <c r="I44" s="69" t="s">
        <v>482</v>
      </c>
      <c r="J44" s="69"/>
      <c r="K44" s="70"/>
      <c r="M44" s="63" t="s">
        <v>608</v>
      </c>
    </row>
    <row r="45" spans="3:13">
      <c r="C45" s="66" t="s">
        <v>14</v>
      </c>
      <c r="D45" s="67" t="s">
        <v>15</v>
      </c>
      <c r="E45" s="67" t="s">
        <v>18</v>
      </c>
      <c r="F45" s="68" t="s">
        <v>483</v>
      </c>
      <c r="G45" s="68" t="s">
        <v>484</v>
      </c>
      <c r="H45" s="68" t="s">
        <v>485</v>
      </c>
      <c r="I45" s="69" t="s">
        <v>487</v>
      </c>
      <c r="J45" s="69"/>
      <c r="K45" s="70"/>
      <c r="M45" s="63" t="s">
        <v>608</v>
      </c>
    </row>
    <row r="46" spans="3:13">
      <c r="C46" s="66" t="s">
        <v>14</v>
      </c>
      <c r="D46" s="67" t="s">
        <v>17</v>
      </c>
      <c r="E46" s="67" t="s">
        <v>18</v>
      </c>
      <c r="F46" s="68" t="s">
        <v>488</v>
      </c>
      <c r="G46" s="68" t="s">
        <v>489</v>
      </c>
      <c r="H46" s="68" t="s">
        <v>490</v>
      </c>
      <c r="I46" s="69" t="s">
        <v>491</v>
      </c>
      <c r="J46" s="69"/>
      <c r="K46" s="70"/>
      <c r="M46" s="63" t="s">
        <v>608</v>
      </c>
    </row>
    <row r="47" spans="3:13">
      <c r="C47" s="58" t="s">
        <v>3</v>
      </c>
      <c r="D47" s="59" t="s">
        <v>389</v>
      </c>
      <c r="E47" s="59" t="s">
        <v>492</v>
      </c>
      <c r="F47" s="60" t="s">
        <v>493</v>
      </c>
      <c r="G47" s="60" t="s">
        <v>494</v>
      </c>
      <c r="H47" s="60" t="s">
        <v>495</v>
      </c>
      <c r="I47" s="61" t="s">
        <v>497</v>
      </c>
      <c r="J47" s="61"/>
      <c r="K47" s="62" t="s">
        <v>601</v>
      </c>
      <c r="L47" s="85" t="str">
        <f t="shared" si="0"/>
        <v>mysql --ssl-mode=DISABLED --get-server-public-key -ulrw_infra  -p'anxkfrleh25!%' -hdb-30lek5-kr1.vpc-cdb.gov-ntruss.com</v>
      </c>
      <c r="M47" s="63" t="s">
        <v>608</v>
      </c>
    </row>
    <row r="48" spans="3:13">
      <c r="C48" s="58" t="s">
        <v>3</v>
      </c>
      <c r="D48" s="71" t="s">
        <v>509</v>
      </c>
      <c r="E48" s="71" t="s">
        <v>492</v>
      </c>
      <c r="F48" s="72" t="s">
        <v>571</v>
      </c>
      <c r="G48" s="73" t="s">
        <v>572</v>
      </c>
      <c r="H48" s="73" t="s">
        <v>573</v>
      </c>
      <c r="I48" s="74" t="s">
        <v>574</v>
      </c>
      <c r="J48" s="74"/>
      <c r="K48" s="62" t="s">
        <v>603</v>
      </c>
      <c r="L48" s="85" t="str">
        <f t="shared" si="0"/>
        <v>mysql --ssl-mode=DISABLED --get-server-public-key -ulrw_infra  -p'anxkfrleh25!%' -hdb-30lel2-kr1.vpc-cdb.gov-ntruss.com</v>
      </c>
      <c r="M48" s="63" t="s">
        <v>608</v>
      </c>
    </row>
    <row r="49" spans="3:13">
      <c r="C49" s="58" t="s">
        <v>3</v>
      </c>
      <c r="D49" s="59" t="s">
        <v>395</v>
      </c>
      <c r="E49" s="59" t="s">
        <v>492</v>
      </c>
      <c r="F49" s="60" t="s">
        <v>575</v>
      </c>
      <c r="G49" s="60" t="s">
        <v>499</v>
      </c>
      <c r="H49" s="60" t="s">
        <v>500</v>
      </c>
      <c r="I49" s="61" t="s">
        <v>501</v>
      </c>
      <c r="J49" s="61"/>
      <c r="K49" s="89" t="s">
        <v>619</v>
      </c>
      <c r="L49" s="85" t="str">
        <f t="shared" si="0"/>
        <v>mysql --ssl-mode=DISABLED --get-server-public-key -ulrw_infra  -p'anxkfrleh25!%' -hdb-30lk8d-kr1.vpc-cdb.gov-ntruss.com</v>
      </c>
      <c r="M49" s="63" t="s">
        <v>608</v>
      </c>
    </row>
    <row r="50" spans="3:13">
      <c r="C50" s="58" t="s">
        <v>3</v>
      </c>
      <c r="D50" s="71" t="s">
        <v>502</v>
      </c>
      <c r="E50" s="71" t="s">
        <v>492</v>
      </c>
      <c r="F50" s="72" t="s">
        <v>503</v>
      </c>
      <c r="G50" s="73" t="s">
        <v>280</v>
      </c>
      <c r="H50" s="73" t="s">
        <v>281</v>
      </c>
      <c r="I50" s="74" t="s">
        <v>578</v>
      </c>
      <c r="J50" s="74"/>
      <c r="K50" s="89" t="s">
        <v>620</v>
      </c>
      <c r="L50" s="85" t="str">
        <f t="shared" si="0"/>
        <v>mysql --ssl-mode=DISABLED --get-server-public-key -ulrw_infra  -p'anxkfrleh25!%' -hdb-30lk9h-kr1.vpc-cdb.gov-ntruss.com</v>
      </c>
      <c r="M50" s="63" t="s">
        <v>608</v>
      </c>
    </row>
    <row r="51" spans="3:13">
      <c r="C51" s="58" t="s">
        <v>3</v>
      </c>
      <c r="D51" s="59" t="s">
        <v>389</v>
      </c>
      <c r="E51" s="59" t="s">
        <v>404</v>
      </c>
      <c r="F51" s="60" t="s">
        <v>504</v>
      </c>
      <c r="G51" s="60" t="s">
        <v>621</v>
      </c>
      <c r="H51" s="60" t="s">
        <v>506</v>
      </c>
      <c r="I51" s="61" t="s">
        <v>508</v>
      </c>
      <c r="J51" s="61"/>
      <c r="K51" s="89" t="s">
        <v>622</v>
      </c>
      <c r="L51" s="85" t="str">
        <f t="shared" si="0"/>
        <v>mysql --ssl-mode=DISABLED --get-server-public-key -ulrw_infra  -p'anxkfrleh25!%' -hdb-30lkad-kr1.vpc-cdb.gov-ntruss.com</v>
      </c>
      <c r="M51" s="63" t="s">
        <v>608</v>
      </c>
    </row>
    <row r="52" spans="3:13">
      <c r="C52" s="58" t="s">
        <v>3</v>
      </c>
      <c r="D52" s="71" t="s">
        <v>509</v>
      </c>
      <c r="E52" s="71" t="s">
        <v>404</v>
      </c>
      <c r="F52" s="72" t="s">
        <v>510</v>
      </c>
      <c r="G52" s="73" t="s">
        <v>579</v>
      </c>
      <c r="H52" s="73" t="s">
        <v>289</v>
      </c>
      <c r="I52" s="74" t="s">
        <v>512</v>
      </c>
      <c r="J52" s="74"/>
      <c r="K52" s="89" t="s">
        <v>623</v>
      </c>
      <c r="L52" s="85" t="str">
        <f t="shared" si="0"/>
        <v>mysql --ssl-mode=DISABLED --get-server-public-key -ulrw_infra  -p'anxkfrleh25!%' -hdb-30lkba-kr1.vpc-cdb.gov-ntruss.com</v>
      </c>
      <c r="M52" s="63" t="s">
        <v>608</v>
      </c>
    </row>
    <row r="53" spans="3:13">
      <c r="C53" s="58" t="s">
        <v>3</v>
      </c>
      <c r="D53" s="59" t="s">
        <v>395</v>
      </c>
      <c r="E53" s="59" t="s">
        <v>22</v>
      </c>
      <c r="F53" s="60" t="s">
        <v>580</v>
      </c>
      <c r="G53" s="60" t="s">
        <v>513</v>
      </c>
      <c r="H53" s="60" t="s">
        <v>514</v>
      </c>
      <c r="I53" s="61" t="s">
        <v>515</v>
      </c>
      <c r="J53" s="61"/>
      <c r="K53" s="89" t="s">
        <v>624</v>
      </c>
      <c r="L53" s="90" t="str">
        <f t="shared" si="0"/>
        <v>mysql --ssl-mode=DISABLED --get-server-public-key -ulrw_infra  -p'anxkfrleh25!%' -hdb-30lkc4-kr1.vpc-cdb.gov-ntruss.com</v>
      </c>
      <c r="M53" s="63" t="s">
        <v>608</v>
      </c>
    </row>
    <row r="54" spans="3:13">
      <c r="C54" s="58" t="s">
        <v>3</v>
      </c>
      <c r="D54" s="71" t="s">
        <v>502</v>
      </c>
      <c r="E54" s="71" t="s">
        <v>404</v>
      </c>
      <c r="F54" s="72" t="s">
        <v>581</v>
      </c>
      <c r="G54" s="73" t="s">
        <v>291</v>
      </c>
      <c r="H54" s="73" t="s">
        <v>292</v>
      </c>
      <c r="I54" s="74" t="s">
        <v>518</v>
      </c>
      <c r="J54" s="74"/>
      <c r="K54" s="89" t="s">
        <v>625</v>
      </c>
      <c r="L54" s="90" t="str">
        <f t="shared" si="0"/>
        <v>mysql --ssl-mode=DISABLED --get-server-public-key -ulrw_infra  -p'anxkfrleh25!%' -hdb-30lkcu-kr1.vpc-cdb.gov-ntruss.com</v>
      </c>
      <c r="M54" s="63" t="s">
        <v>608</v>
      </c>
    </row>
    <row r="55" spans="3:13">
      <c r="C55" s="65" t="s">
        <v>9</v>
      </c>
      <c r="D55" s="59" t="s">
        <v>23</v>
      </c>
      <c r="E55" s="59" t="s">
        <v>24</v>
      </c>
      <c r="F55" s="60" t="s">
        <v>519</v>
      </c>
      <c r="G55" s="60" t="s">
        <v>520</v>
      </c>
      <c r="H55" s="60" t="s">
        <v>521</v>
      </c>
      <c r="I55" s="61" t="s">
        <v>523</v>
      </c>
      <c r="J55" s="61"/>
      <c r="K55" s="89" t="s">
        <v>626</v>
      </c>
      <c r="L55" s="90" t="str">
        <f t="shared" si="0"/>
        <v>mysql --ssl-mode=DISABLED --get-server-public-key -ulrw_infra  -p'anxkfrleh25!%' -hdb-30lkdv-kr1.vpc-cdb.gov-ntruss.com</v>
      </c>
      <c r="M55" s="63" t="s">
        <v>608</v>
      </c>
    </row>
    <row r="56" spans="3:13">
      <c r="C56" s="65" t="s">
        <v>9</v>
      </c>
      <c r="D56" s="59" t="s">
        <v>23</v>
      </c>
      <c r="E56" s="59" t="s">
        <v>25</v>
      </c>
      <c r="F56" s="60" t="s">
        <v>524</v>
      </c>
      <c r="G56" s="60" t="s">
        <v>525</v>
      </c>
      <c r="H56" s="60" t="s">
        <v>526</v>
      </c>
      <c r="I56" s="61" t="s">
        <v>528</v>
      </c>
      <c r="J56" s="61"/>
      <c r="K56" s="89" t="s">
        <v>627</v>
      </c>
      <c r="L56" s="90" t="str">
        <f t="shared" si="0"/>
        <v>mysql --ssl-mode=DISABLED --get-server-public-key -ulrw_infra  -p'anxkfrleh25!%' -hdb-30lkf0-kr1.vpc-cdb.gov-ntruss.com</v>
      </c>
      <c r="M56" s="63" t="s">
        <v>608</v>
      </c>
    </row>
    <row r="57" spans="3:13">
      <c r="C57" s="66" t="s">
        <v>14</v>
      </c>
      <c r="D57" s="67" t="s">
        <v>26</v>
      </c>
      <c r="E57" s="67" t="s">
        <v>27</v>
      </c>
      <c r="F57" s="68" t="s">
        <v>529</v>
      </c>
      <c r="G57" s="68" t="s">
        <v>530</v>
      </c>
      <c r="H57" s="68" t="s">
        <v>531</v>
      </c>
      <c r="I57" s="69" t="s">
        <v>533</v>
      </c>
      <c r="J57" s="69"/>
      <c r="K57" s="70"/>
      <c r="M57" s="63" t="s">
        <v>608</v>
      </c>
    </row>
    <row r="58" spans="3:13">
      <c r="C58" s="66" t="s">
        <v>14</v>
      </c>
      <c r="D58" s="67" t="s">
        <v>28</v>
      </c>
      <c r="E58" s="67" t="s">
        <v>27</v>
      </c>
      <c r="F58" s="68" t="s">
        <v>534</v>
      </c>
      <c r="G58" s="68" t="s">
        <v>535</v>
      </c>
      <c r="H58" s="68" t="s">
        <v>536</v>
      </c>
      <c r="I58" s="69" t="s">
        <v>537</v>
      </c>
      <c r="J58" s="69"/>
      <c r="K58" s="70"/>
      <c r="M58" s="63" t="s">
        <v>608</v>
      </c>
    </row>
    <row r="59" spans="3:13">
      <c r="C59" s="66" t="s">
        <v>14</v>
      </c>
      <c r="D59" s="67" t="s">
        <v>26</v>
      </c>
      <c r="E59" s="67" t="s">
        <v>29</v>
      </c>
      <c r="F59" s="68" t="s">
        <v>538</v>
      </c>
      <c r="G59" s="68" t="s">
        <v>539</v>
      </c>
      <c r="H59" s="68" t="s">
        <v>540</v>
      </c>
      <c r="I59" s="69" t="s">
        <v>542</v>
      </c>
      <c r="J59" s="69"/>
      <c r="K59" s="70"/>
      <c r="M59" s="63" t="s">
        <v>608</v>
      </c>
    </row>
    <row r="60" spans="3:13" ht="18" thickBot="1">
      <c r="C60" s="75" t="s">
        <v>14</v>
      </c>
      <c r="D60" s="76" t="s">
        <v>28</v>
      </c>
      <c r="E60" s="76" t="s">
        <v>29</v>
      </c>
      <c r="F60" s="77" t="s">
        <v>543</v>
      </c>
      <c r="G60" s="77" t="s">
        <v>544</v>
      </c>
      <c r="H60" s="77" t="s">
        <v>545</v>
      </c>
      <c r="I60" s="78" t="s">
        <v>546</v>
      </c>
      <c r="J60" s="78"/>
      <c r="K60" s="79"/>
      <c r="M60" s="63" t="s">
        <v>608</v>
      </c>
    </row>
    <row r="61" spans="3:13">
      <c r="M61" s="63"/>
    </row>
    <row r="62" spans="3:13">
      <c r="M62" s="63"/>
    </row>
    <row r="63" spans="3:13">
      <c r="M63" s="63"/>
    </row>
    <row r="64" spans="3:13">
      <c r="M64" s="63"/>
    </row>
    <row r="65" spans="13:13">
      <c r="M65" s="63"/>
    </row>
    <row r="66" spans="13:13">
      <c r="M66" s="63"/>
    </row>
    <row r="67" spans="13:13">
      <c r="M67" s="63"/>
    </row>
    <row r="68" spans="13:13">
      <c r="M68" s="63"/>
    </row>
  </sheetData>
  <mergeCells count="1">
    <mergeCell ref="L1:L3"/>
  </mergeCells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40"/>
  <sheetViews>
    <sheetView workbookViewId="0">
      <selection activeCell="U31" sqref="U31"/>
    </sheetView>
  </sheetViews>
  <sheetFormatPr defaultRowHeight="17.399999999999999"/>
  <cols>
    <col min="1" max="1" width="15.19921875" bestFit="1" customWidth="1"/>
    <col min="2" max="2" width="12.19921875" bestFit="1" customWidth="1"/>
    <col min="5" max="5" width="15.5" bestFit="1" customWidth="1"/>
  </cols>
  <sheetData>
    <row r="2" spans="1:5">
      <c r="A2" s="94" t="s">
        <v>648</v>
      </c>
      <c r="B2" s="94" t="s">
        <v>649</v>
      </c>
      <c r="C2" s="94"/>
      <c r="D2" s="94"/>
      <c r="E2" s="94" t="s">
        <v>656</v>
      </c>
    </row>
    <row r="3" spans="1:5">
      <c r="A3" s="91" t="s">
        <v>653</v>
      </c>
      <c r="B3" s="91" t="s">
        <v>647</v>
      </c>
      <c r="C3" s="91" t="s">
        <v>634</v>
      </c>
      <c r="D3" s="91" t="s">
        <v>635</v>
      </c>
      <c r="E3" s="96" t="s">
        <v>659</v>
      </c>
    </row>
    <row r="4" spans="1:5">
      <c r="A4" s="91"/>
      <c r="B4" s="91" t="s">
        <v>695</v>
      </c>
      <c r="C4" s="91"/>
      <c r="D4" s="91"/>
      <c r="E4" s="96" t="s">
        <v>696</v>
      </c>
    </row>
    <row r="5" spans="1:5">
      <c r="A5" s="91" t="s">
        <v>658</v>
      </c>
      <c r="B5" s="91" t="s">
        <v>657</v>
      </c>
      <c r="C5" s="91"/>
      <c r="D5" s="91"/>
      <c r="E5" s="96" t="s">
        <v>659</v>
      </c>
    </row>
    <row r="6" spans="1:5">
      <c r="A6" s="91" t="s">
        <v>671</v>
      </c>
      <c r="B6" s="91" t="s">
        <v>670</v>
      </c>
      <c r="C6" s="91"/>
      <c r="D6" s="91"/>
      <c r="E6" s="96" t="s">
        <v>668</v>
      </c>
    </row>
    <row r="7" spans="1:5">
      <c r="A7" s="91"/>
      <c r="B7" s="92" t="s">
        <v>636</v>
      </c>
      <c r="C7" s="92" t="s">
        <v>634</v>
      </c>
      <c r="D7" s="92" t="s">
        <v>637</v>
      </c>
      <c r="E7" s="92" t="s">
        <v>638</v>
      </c>
    </row>
    <row r="8" spans="1:5">
      <c r="A8" s="91" t="s">
        <v>650</v>
      </c>
      <c r="B8" s="91" t="s">
        <v>672</v>
      </c>
      <c r="C8" s="91" t="s">
        <v>634</v>
      </c>
      <c r="D8" s="91" t="s">
        <v>637</v>
      </c>
      <c r="E8" s="91" t="s">
        <v>164</v>
      </c>
    </row>
    <row r="9" spans="1:5">
      <c r="A9" s="91" t="s">
        <v>650</v>
      </c>
      <c r="B9" s="91" t="s">
        <v>166</v>
      </c>
      <c r="C9" s="91" t="s">
        <v>634</v>
      </c>
      <c r="D9" s="91" t="s">
        <v>637</v>
      </c>
      <c r="E9" s="91" t="s">
        <v>675</v>
      </c>
    </row>
    <row r="10" spans="1:5">
      <c r="A10" s="91"/>
      <c r="B10" t="s">
        <v>676</v>
      </c>
      <c r="C10" t="s">
        <v>634</v>
      </c>
      <c r="D10" t="s">
        <v>637</v>
      </c>
      <c r="E10" s="97" t="s">
        <v>677</v>
      </c>
    </row>
    <row r="11" spans="1:5">
      <c r="A11" s="91"/>
      <c r="B11" s="91" t="s">
        <v>660</v>
      </c>
      <c r="C11" s="91" t="s">
        <v>634</v>
      </c>
      <c r="D11" s="91" t="s">
        <v>637</v>
      </c>
      <c r="E11" s="91" t="s">
        <v>674</v>
      </c>
    </row>
    <row r="12" spans="1:5">
      <c r="A12" s="91"/>
      <c r="B12" s="92" t="s">
        <v>640</v>
      </c>
      <c r="C12" s="92" t="s">
        <v>634</v>
      </c>
      <c r="D12" s="92" t="s">
        <v>637</v>
      </c>
      <c r="E12" s="92" t="s">
        <v>641</v>
      </c>
    </row>
    <row r="13" spans="1:5">
      <c r="A13" s="91"/>
      <c r="B13" s="92" t="s">
        <v>642</v>
      </c>
      <c r="C13" s="92" t="s">
        <v>634</v>
      </c>
      <c r="D13" s="92" t="s">
        <v>637</v>
      </c>
      <c r="E13" s="92" t="s">
        <v>643</v>
      </c>
    </row>
    <row r="14" spans="1:5">
      <c r="A14" s="91"/>
      <c r="B14" s="92" t="s">
        <v>673</v>
      </c>
      <c r="C14" s="92" t="s">
        <v>634</v>
      </c>
      <c r="D14" s="92" t="s">
        <v>637</v>
      </c>
      <c r="E14" s="92" t="s">
        <v>639</v>
      </c>
    </row>
    <row r="15" spans="1:5">
      <c r="A15" s="91"/>
      <c r="B15" s="92" t="s">
        <v>644</v>
      </c>
      <c r="C15" s="92" t="s">
        <v>634</v>
      </c>
      <c r="D15" s="92" t="s">
        <v>637</v>
      </c>
      <c r="E15" s="92" t="s">
        <v>645</v>
      </c>
    </row>
    <row r="16" spans="1:5">
      <c r="A16" s="91" t="s">
        <v>654</v>
      </c>
      <c r="B16" s="93" t="s">
        <v>651</v>
      </c>
      <c r="C16" s="91"/>
      <c r="D16" s="91" t="s">
        <v>655</v>
      </c>
      <c r="E16" s="91" t="s">
        <v>652</v>
      </c>
    </row>
    <row r="17" spans="1:5">
      <c r="A17" t="s">
        <v>708</v>
      </c>
      <c r="B17" s="103" t="s">
        <v>709</v>
      </c>
      <c r="E17" s="103" t="s">
        <v>710</v>
      </c>
    </row>
    <row r="25" spans="1:5">
      <c r="A25" s="95" t="s">
        <v>648</v>
      </c>
      <c r="B25" s="95" t="s">
        <v>649</v>
      </c>
      <c r="C25" s="95"/>
      <c r="D25" s="95"/>
      <c r="E25" s="95" t="s">
        <v>656</v>
      </c>
    </row>
    <row r="26" spans="1:5">
      <c r="A26" s="91" t="s">
        <v>646</v>
      </c>
      <c r="B26" s="91" t="s">
        <v>660</v>
      </c>
      <c r="C26" s="91"/>
      <c r="D26" s="91"/>
      <c r="E26" s="91" t="s">
        <v>639</v>
      </c>
    </row>
    <row r="27" spans="1:5">
      <c r="A27" s="91"/>
      <c r="B27" s="91" t="s">
        <v>163</v>
      </c>
      <c r="C27" s="91"/>
      <c r="D27" s="91"/>
      <c r="E27" s="91" t="s">
        <v>663</v>
      </c>
    </row>
    <row r="28" spans="1:5">
      <c r="A28" s="91"/>
      <c r="B28" s="91" t="s">
        <v>661</v>
      </c>
      <c r="C28" s="91"/>
      <c r="D28" s="91"/>
      <c r="E28" s="91" t="s">
        <v>662</v>
      </c>
    </row>
    <row r="29" spans="1:5">
      <c r="A29" s="91"/>
      <c r="B29" s="91" t="s">
        <v>664</v>
      </c>
      <c r="C29" s="91"/>
      <c r="D29" s="91"/>
      <c r="E29" s="91" t="s">
        <v>662</v>
      </c>
    </row>
    <row r="30" spans="1:5">
      <c r="A30" s="91"/>
      <c r="B30" s="91" t="s">
        <v>665</v>
      </c>
      <c r="C30" s="91"/>
      <c r="D30" s="91"/>
      <c r="E30" s="91"/>
    </row>
    <row r="31" spans="1:5">
      <c r="A31" s="91"/>
      <c r="B31" s="91" t="s">
        <v>669</v>
      </c>
      <c r="C31" s="91"/>
      <c r="D31" s="91"/>
      <c r="E31" s="91"/>
    </row>
    <row r="32" spans="1:5">
      <c r="A32" s="91"/>
      <c r="B32" s="93" t="s">
        <v>666</v>
      </c>
      <c r="C32" s="91"/>
      <c r="D32" s="91"/>
      <c r="E32" s="93" t="s">
        <v>667</v>
      </c>
    </row>
    <row r="35" spans="1:5">
      <c r="A35" t="s">
        <v>700</v>
      </c>
    </row>
    <row r="36" spans="1:5">
      <c r="A36" s="95" t="s">
        <v>699</v>
      </c>
      <c r="B36" s="95" t="s">
        <v>649</v>
      </c>
      <c r="C36" s="95"/>
      <c r="D36" s="95"/>
      <c r="E36" s="95" t="s">
        <v>656</v>
      </c>
    </row>
    <row r="37" spans="1:5">
      <c r="B37" t="s">
        <v>701</v>
      </c>
      <c r="E37" t="s">
        <v>705</v>
      </c>
    </row>
    <row r="38" spans="1:5">
      <c r="B38" t="s">
        <v>702</v>
      </c>
      <c r="E38" t="s">
        <v>706</v>
      </c>
    </row>
    <row r="39" spans="1:5">
      <c r="B39" t="s">
        <v>707</v>
      </c>
      <c r="E39" t="s">
        <v>704</v>
      </c>
    </row>
    <row r="40" spans="1:5">
      <c r="B40" t="s">
        <v>703</v>
      </c>
      <c r="E40" t="s">
        <v>711</v>
      </c>
    </row>
  </sheetData>
  <phoneticPr fontId="3" type="noConversion"/>
  <hyperlinks>
    <hyperlink ref="E10" r:id="rId1"/>
  </hyperlinks>
  <pageMargins left="0.7" right="0.7" top="0.75" bottom="0.75" header="0.3" footer="0.3"/>
  <pageSetup paperSize="9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P66"/>
  <sheetViews>
    <sheetView topLeftCell="A16" workbookViewId="0">
      <selection activeCell="H22" sqref="H22:H23"/>
    </sheetView>
  </sheetViews>
  <sheetFormatPr defaultColWidth="9" defaultRowHeight="17.399999999999999"/>
  <cols>
    <col min="1" max="1" width="9" style="24"/>
    <col min="2" max="2" width="7.59765625" style="24" bestFit="1" customWidth="1"/>
    <col min="3" max="3" width="10" style="24" bestFit="1" customWidth="1"/>
    <col min="4" max="4" width="6.69921875" style="24" bestFit="1" customWidth="1"/>
    <col min="5" max="5" width="30" style="24" bestFit="1" customWidth="1"/>
    <col min="6" max="6" width="27.3984375" style="24" bestFit="1" customWidth="1"/>
    <col min="7" max="7" width="20" style="24" bestFit="1" customWidth="1"/>
    <col min="8" max="8" width="40.59765625" style="24" bestFit="1" customWidth="1"/>
    <col min="9" max="9" width="107.5" style="24" bestFit="1" customWidth="1"/>
    <col min="10" max="10" width="10.59765625" style="24" bestFit="1" customWidth="1"/>
    <col min="11" max="11" width="11.8984375" style="24" bestFit="1" customWidth="1"/>
    <col min="12" max="13" width="9" style="24"/>
    <col min="14" max="14" width="35.69921875" style="24" bestFit="1" customWidth="1"/>
    <col min="15" max="16384" width="9" style="24"/>
  </cols>
  <sheetData>
    <row r="4" spans="2:16">
      <c r="B4" s="22"/>
      <c r="C4" s="23"/>
      <c r="D4" s="23"/>
      <c r="E4" s="23"/>
      <c r="F4" s="23"/>
      <c r="G4" s="23"/>
      <c r="H4" s="23"/>
    </row>
    <row r="5" spans="2:16" ht="19.8" thickBot="1">
      <c r="B5" s="25" t="s">
        <v>82</v>
      </c>
      <c r="C5" s="23"/>
      <c r="D5" s="23"/>
      <c r="E5" s="23"/>
      <c r="F5" s="23"/>
      <c r="G5" s="23"/>
      <c r="H5" s="23"/>
    </row>
    <row r="6" spans="2:16" ht="19.8" thickBot="1">
      <c r="B6" s="137" t="s">
        <v>0</v>
      </c>
      <c r="C6" s="137" t="s">
        <v>1</v>
      </c>
      <c r="D6" s="137" t="s">
        <v>2</v>
      </c>
      <c r="E6" s="137" t="s">
        <v>139</v>
      </c>
      <c r="F6" s="141" t="s">
        <v>137</v>
      </c>
      <c r="G6" s="141"/>
      <c r="H6" s="137" t="s">
        <v>143</v>
      </c>
      <c r="I6" s="137" t="s">
        <v>138</v>
      </c>
      <c r="J6" s="137" t="s">
        <v>140</v>
      </c>
      <c r="K6" s="137" t="s">
        <v>141</v>
      </c>
      <c r="L6" s="10"/>
      <c r="M6" s="26"/>
      <c r="N6" s="26"/>
      <c r="O6" s="26"/>
      <c r="P6" s="10"/>
    </row>
    <row r="7" spans="2:16" ht="18" thickBot="1">
      <c r="B7" s="137"/>
      <c r="C7" s="137"/>
      <c r="D7" s="137"/>
      <c r="E7" s="137"/>
      <c r="F7" s="12" t="s">
        <v>30</v>
      </c>
      <c r="G7" s="12" t="s">
        <v>142</v>
      </c>
      <c r="H7" s="137"/>
      <c r="I7" s="137"/>
      <c r="J7" s="137"/>
      <c r="K7" s="137"/>
      <c r="L7" s="11"/>
      <c r="M7" s="26"/>
      <c r="N7" s="26"/>
      <c r="O7" s="26"/>
      <c r="P7" s="11"/>
    </row>
    <row r="8" spans="2:16" ht="18" thickBot="1">
      <c r="B8" s="3" t="s">
        <v>3</v>
      </c>
      <c r="C8" s="4" t="s">
        <v>4</v>
      </c>
      <c r="D8" s="4" t="s">
        <v>5</v>
      </c>
      <c r="E8" s="27" t="s">
        <v>162</v>
      </c>
      <c r="F8" s="1" t="s">
        <v>31</v>
      </c>
      <c r="G8" s="1" t="s">
        <v>32</v>
      </c>
      <c r="H8" s="1" t="s">
        <v>33</v>
      </c>
      <c r="I8" s="7" t="s">
        <v>198</v>
      </c>
      <c r="J8" s="138" t="s">
        <v>163</v>
      </c>
      <c r="K8" s="138" t="s">
        <v>164</v>
      </c>
      <c r="L8" s="11"/>
      <c r="M8" s="26"/>
      <c r="N8" s="26"/>
      <c r="O8" s="26"/>
      <c r="P8" s="11"/>
    </row>
    <row r="9" spans="2:16" ht="18" thickBot="1">
      <c r="B9" s="5" t="s">
        <v>3</v>
      </c>
      <c r="C9" s="6" t="s">
        <v>6</v>
      </c>
      <c r="D9" s="6" t="s">
        <v>5</v>
      </c>
      <c r="E9" s="27" t="s">
        <v>168</v>
      </c>
      <c r="F9" s="13" t="s">
        <v>34</v>
      </c>
      <c r="G9" s="13" t="s">
        <v>35</v>
      </c>
      <c r="H9" s="13" t="s">
        <v>36</v>
      </c>
      <c r="I9" s="14" t="s">
        <v>199</v>
      </c>
      <c r="J9" s="139"/>
      <c r="K9" s="139"/>
      <c r="L9" s="11"/>
      <c r="M9" s="26"/>
      <c r="N9" s="26"/>
      <c r="O9" s="26"/>
      <c r="P9" s="11"/>
    </row>
    <row r="10" spans="2:16" ht="18" thickBot="1">
      <c r="B10" s="3" t="s">
        <v>3</v>
      </c>
      <c r="C10" s="4" t="s">
        <v>4</v>
      </c>
      <c r="D10" s="4" t="s">
        <v>7</v>
      </c>
      <c r="E10" s="28" t="s">
        <v>165</v>
      </c>
      <c r="F10" s="15" t="s">
        <v>37</v>
      </c>
      <c r="G10" s="15" t="s">
        <v>38</v>
      </c>
      <c r="H10" s="15" t="s">
        <v>39</v>
      </c>
      <c r="I10" s="14" t="s">
        <v>200</v>
      </c>
      <c r="J10" s="139"/>
      <c r="K10" s="139"/>
      <c r="L10" s="11"/>
      <c r="M10" s="26"/>
      <c r="N10" s="26"/>
      <c r="O10" s="26"/>
      <c r="P10" s="11"/>
    </row>
    <row r="11" spans="2:16" ht="18" thickBot="1">
      <c r="B11" s="3" t="s">
        <v>3</v>
      </c>
      <c r="C11" s="4" t="s">
        <v>6</v>
      </c>
      <c r="D11" s="4" t="s">
        <v>7</v>
      </c>
      <c r="E11" s="29" t="s">
        <v>146</v>
      </c>
      <c r="F11" s="13" t="s">
        <v>40</v>
      </c>
      <c r="G11" s="13" t="s">
        <v>41</v>
      </c>
      <c r="H11" s="13" t="s">
        <v>42</v>
      </c>
      <c r="I11" s="14" t="s">
        <v>201</v>
      </c>
      <c r="J11" s="139"/>
      <c r="K11" s="139"/>
      <c r="L11" s="11"/>
      <c r="M11" s="26"/>
      <c r="N11" s="26"/>
      <c r="O11" s="26"/>
      <c r="P11" s="11"/>
    </row>
    <row r="12" spans="2:16" ht="18" thickBot="1">
      <c r="B12" s="3" t="s">
        <v>3</v>
      </c>
      <c r="C12" s="4" t="s">
        <v>4</v>
      </c>
      <c r="D12" s="4" t="s">
        <v>8</v>
      </c>
      <c r="E12" s="28" t="s">
        <v>170</v>
      </c>
      <c r="F12" s="15" t="s">
        <v>240</v>
      </c>
      <c r="G12" s="15" t="s">
        <v>43</v>
      </c>
      <c r="H12" s="15" t="s">
        <v>44</v>
      </c>
      <c r="I12" s="14" t="s">
        <v>171</v>
      </c>
      <c r="J12" s="139"/>
      <c r="K12" s="139"/>
      <c r="L12" s="11"/>
      <c r="M12" s="26"/>
      <c r="N12" s="26"/>
      <c r="O12" s="26"/>
      <c r="P12" s="11"/>
    </row>
    <row r="13" spans="2:16" ht="18" thickBot="1">
      <c r="B13" s="3" t="s">
        <v>3</v>
      </c>
      <c r="C13" s="4" t="s">
        <v>6</v>
      </c>
      <c r="D13" s="4" t="s">
        <v>8</v>
      </c>
      <c r="E13" s="28" t="s">
        <v>148</v>
      </c>
      <c r="F13" s="13" t="s">
        <v>45</v>
      </c>
      <c r="G13" s="13" t="s">
        <v>46</v>
      </c>
      <c r="H13" s="13" t="s">
        <v>202</v>
      </c>
      <c r="I13" s="14" t="s">
        <v>203</v>
      </c>
      <c r="J13" s="139"/>
      <c r="K13" s="139"/>
      <c r="L13" s="11"/>
      <c r="M13" s="26"/>
      <c r="N13" s="26"/>
      <c r="O13" s="26"/>
      <c r="P13" s="11"/>
    </row>
    <row r="14" spans="2:16" ht="18" thickBot="1">
      <c r="B14" s="3" t="s">
        <v>9</v>
      </c>
      <c r="C14" s="4" t="s">
        <v>10</v>
      </c>
      <c r="D14" s="4" t="s">
        <v>11</v>
      </c>
      <c r="E14" s="28" t="s">
        <v>172</v>
      </c>
      <c r="F14" s="15" t="s">
        <v>47</v>
      </c>
      <c r="G14" s="15" t="s">
        <v>48</v>
      </c>
      <c r="H14" s="15" t="s">
        <v>49</v>
      </c>
      <c r="I14" s="14" t="s">
        <v>173</v>
      </c>
      <c r="J14" s="139"/>
      <c r="K14" s="139"/>
      <c r="L14" s="11"/>
      <c r="M14" s="26"/>
      <c r="N14" s="26"/>
      <c r="O14" s="26"/>
      <c r="P14" s="11"/>
    </row>
    <row r="15" spans="2:16" ht="18" thickBot="1">
      <c r="B15" s="3" t="s">
        <v>9</v>
      </c>
      <c r="C15" s="4" t="s">
        <v>12</v>
      </c>
      <c r="D15" s="4" t="s">
        <v>13</v>
      </c>
      <c r="E15" s="28" t="s">
        <v>175</v>
      </c>
      <c r="F15" s="15" t="s">
        <v>50</v>
      </c>
      <c r="G15" s="15" t="s">
        <v>51</v>
      </c>
      <c r="H15" s="15" t="s">
        <v>52</v>
      </c>
      <c r="I15" s="14" t="s">
        <v>176</v>
      </c>
      <c r="J15" s="139"/>
      <c r="K15" s="139"/>
      <c r="L15" s="11"/>
      <c r="M15" s="26"/>
      <c r="N15" s="26"/>
      <c r="O15" s="26"/>
      <c r="P15" s="11"/>
    </row>
    <row r="16" spans="2:16" ht="18" thickBot="1">
      <c r="B16" s="3" t="s">
        <v>14</v>
      </c>
      <c r="C16" s="4" t="s">
        <v>15</v>
      </c>
      <c r="D16" s="4" t="s">
        <v>16</v>
      </c>
      <c r="E16" s="28" t="s">
        <v>178</v>
      </c>
      <c r="F16" s="15" t="s">
        <v>241</v>
      </c>
      <c r="G16" s="15" t="s">
        <v>53</v>
      </c>
      <c r="H16" s="15" t="s">
        <v>54</v>
      </c>
      <c r="I16" s="14" t="s">
        <v>204</v>
      </c>
      <c r="J16" s="139"/>
      <c r="K16" s="139"/>
      <c r="L16" s="11"/>
      <c r="M16" s="26"/>
      <c r="N16" s="26"/>
      <c r="O16" s="26"/>
      <c r="P16" s="11"/>
    </row>
    <row r="17" spans="2:16" ht="18" thickBot="1">
      <c r="B17" s="3" t="s">
        <v>14</v>
      </c>
      <c r="C17" s="4" t="s">
        <v>17</v>
      </c>
      <c r="D17" s="4" t="s">
        <v>16</v>
      </c>
      <c r="E17" s="28" t="s">
        <v>152</v>
      </c>
      <c r="F17" s="13" t="s">
        <v>55</v>
      </c>
      <c r="G17" s="13" t="s">
        <v>56</v>
      </c>
      <c r="H17" s="13" t="s">
        <v>205</v>
      </c>
      <c r="I17" s="14" t="s">
        <v>206</v>
      </c>
      <c r="J17" s="139"/>
      <c r="K17" s="139"/>
      <c r="L17" s="11"/>
      <c r="M17" s="26"/>
      <c r="N17" s="26"/>
      <c r="O17" s="26"/>
      <c r="P17" s="11"/>
    </row>
    <row r="18" spans="2:16" ht="18" thickBot="1">
      <c r="B18" s="3" t="s">
        <v>14</v>
      </c>
      <c r="C18" s="4" t="s">
        <v>15</v>
      </c>
      <c r="D18" s="4" t="s">
        <v>18</v>
      </c>
      <c r="E18" s="28" t="s">
        <v>179</v>
      </c>
      <c r="F18" s="15" t="s">
        <v>242</v>
      </c>
      <c r="G18" s="15" t="s">
        <v>57</v>
      </c>
      <c r="H18" s="15" t="s">
        <v>58</v>
      </c>
      <c r="I18" s="14" t="s">
        <v>180</v>
      </c>
      <c r="J18" s="139"/>
      <c r="K18" s="139"/>
      <c r="L18" s="11"/>
      <c r="M18" s="26"/>
      <c r="N18" s="26"/>
      <c r="O18" s="26"/>
      <c r="P18" s="11"/>
    </row>
    <row r="19" spans="2:16" ht="18" thickBot="1">
      <c r="B19" s="3" t="s">
        <v>14</v>
      </c>
      <c r="C19" s="4" t="s">
        <v>17</v>
      </c>
      <c r="D19" s="4" t="s">
        <v>18</v>
      </c>
      <c r="E19" s="28" t="s">
        <v>154</v>
      </c>
      <c r="F19" s="13" t="s">
        <v>59</v>
      </c>
      <c r="G19" s="13" t="s">
        <v>60</v>
      </c>
      <c r="H19" s="13" t="s">
        <v>61</v>
      </c>
      <c r="I19" s="14" t="s">
        <v>207</v>
      </c>
      <c r="J19" s="139"/>
      <c r="K19" s="139"/>
      <c r="L19" s="11"/>
      <c r="M19" s="26"/>
      <c r="N19" s="26"/>
      <c r="O19" s="26"/>
      <c r="P19" s="11"/>
    </row>
    <row r="20" spans="2:16" ht="18" thickBot="1">
      <c r="B20" s="16" t="s">
        <v>3</v>
      </c>
      <c r="C20" s="17" t="s">
        <v>239</v>
      </c>
      <c r="D20" s="17" t="s">
        <v>19</v>
      </c>
      <c r="E20" s="28" t="s">
        <v>182</v>
      </c>
      <c r="F20" s="13" t="s">
        <v>243</v>
      </c>
      <c r="G20" s="13" t="s">
        <v>62</v>
      </c>
      <c r="H20" s="13" t="s">
        <v>250</v>
      </c>
      <c r="I20" s="14" t="s">
        <v>208</v>
      </c>
      <c r="J20" s="139"/>
      <c r="K20" s="139"/>
      <c r="L20" s="11"/>
      <c r="M20" s="26"/>
      <c r="N20" s="26"/>
      <c r="O20" s="26"/>
      <c r="P20" s="11"/>
    </row>
    <row r="21" spans="2:16" ht="18" thickBot="1">
      <c r="B21" s="18" t="s">
        <v>3</v>
      </c>
      <c r="C21" s="19" t="s">
        <v>20</v>
      </c>
      <c r="D21" s="19" t="s">
        <v>19</v>
      </c>
      <c r="E21" s="30" t="s">
        <v>183</v>
      </c>
      <c r="F21" s="20" t="s">
        <v>265</v>
      </c>
      <c r="G21" s="20" t="s">
        <v>266</v>
      </c>
      <c r="H21" s="20" t="s">
        <v>274</v>
      </c>
      <c r="I21" s="21" t="s">
        <v>293</v>
      </c>
      <c r="J21" s="139"/>
      <c r="K21" s="139"/>
      <c r="L21" s="11"/>
      <c r="M21" s="26"/>
      <c r="N21" s="26"/>
      <c r="O21" s="26"/>
      <c r="P21" s="11"/>
    </row>
    <row r="22" spans="2:16" ht="18" thickBot="1">
      <c r="B22" s="16" t="s">
        <v>3</v>
      </c>
      <c r="C22" s="17" t="s">
        <v>251</v>
      </c>
      <c r="D22" s="17" t="s">
        <v>19</v>
      </c>
      <c r="E22" s="28" t="s">
        <v>186</v>
      </c>
      <c r="F22" s="13" t="s">
        <v>244</v>
      </c>
      <c r="G22" s="13" t="s">
        <v>63</v>
      </c>
      <c r="H22" s="13" t="s">
        <v>64</v>
      </c>
      <c r="I22" s="14" t="s">
        <v>209</v>
      </c>
      <c r="J22" s="139"/>
      <c r="K22" s="139"/>
      <c r="L22" s="11"/>
      <c r="M22" s="26"/>
      <c r="N22" s="26"/>
      <c r="O22" s="26"/>
      <c r="P22" s="11"/>
    </row>
    <row r="23" spans="2:16" ht="18" thickBot="1">
      <c r="B23" s="18" t="s">
        <v>3</v>
      </c>
      <c r="C23" s="19" t="s">
        <v>21</v>
      </c>
      <c r="D23" s="19" t="s">
        <v>19</v>
      </c>
      <c r="E23" s="30" t="s">
        <v>283</v>
      </c>
      <c r="F23" s="20" t="s">
        <v>300</v>
      </c>
      <c r="G23" s="20" t="s">
        <v>301</v>
      </c>
      <c r="H23" s="33" t="s">
        <v>302</v>
      </c>
      <c r="I23" s="21" t="s">
        <v>303</v>
      </c>
      <c r="J23" s="139"/>
      <c r="K23" s="139"/>
      <c r="L23" s="11"/>
      <c r="M23" s="26"/>
      <c r="N23" s="26"/>
      <c r="O23" s="26"/>
      <c r="P23" s="11"/>
    </row>
    <row r="24" spans="2:16" ht="18" thickBot="1">
      <c r="B24" s="16" t="s">
        <v>3</v>
      </c>
      <c r="C24" s="17" t="s">
        <v>252</v>
      </c>
      <c r="D24" s="17" t="s">
        <v>22</v>
      </c>
      <c r="E24" s="28" t="s">
        <v>187</v>
      </c>
      <c r="F24" s="13" t="s">
        <v>65</v>
      </c>
      <c r="G24" s="13" t="s">
        <v>66</v>
      </c>
      <c r="H24" s="13" t="s">
        <v>67</v>
      </c>
      <c r="I24" s="14" t="s">
        <v>210</v>
      </c>
      <c r="J24" s="139"/>
      <c r="K24" s="139"/>
      <c r="L24" s="11"/>
      <c r="M24" s="26"/>
      <c r="N24" s="26"/>
      <c r="O24" s="26"/>
      <c r="P24" s="11"/>
    </row>
    <row r="25" spans="2:16" ht="18" thickBot="1">
      <c r="B25" s="18" t="s">
        <v>3</v>
      </c>
      <c r="C25" s="19" t="s">
        <v>20</v>
      </c>
      <c r="D25" s="19" t="s">
        <v>22</v>
      </c>
      <c r="E25" s="30" t="s">
        <v>189</v>
      </c>
      <c r="F25" s="20" t="s">
        <v>272</v>
      </c>
      <c r="G25" s="20" t="s">
        <v>273</v>
      </c>
      <c r="H25" s="20" t="s">
        <v>282</v>
      </c>
      <c r="I25" s="21" t="s">
        <v>296</v>
      </c>
      <c r="J25" s="139"/>
      <c r="K25" s="139"/>
      <c r="L25" s="11"/>
      <c r="M25" s="26"/>
      <c r="N25" s="26"/>
      <c r="O25" s="26"/>
      <c r="P25" s="11"/>
    </row>
    <row r="26" spans="2:16" ht="18" thickBot="1">
      <c r="B26" s="16" t="s">
        <v>3</v>
      </c>
      <c r="C26" s="17" t="s">
        <v>253</v>
      </c>
      <c r="D26" s="17" t="s">
        <v>22</v>
      </c>
      <c r="E26" s="28" t="s">
        <v>254</v>
      </c>
      <c r="F26" s="13" t="s">
        <v>68</v>
      </c>
      <c r="G26" s="13" t="s">
        <v>267</v>
      </c>
      <c r="H26" s="13" t="s">
        <v>69</v>
      </c>
      <c r="I26" s="14" t="s">
        <v>211</v>
      </c>
      <c r="J26" s="139"/>
      <c r="K26" s="139"/>
      <c r="L26" s="11"/>
      <c r="M26" s="26"/>
      <c r="N26" s="26"/>
      <c r="O26" s="26"/>
      <c r="P26" s="11"/>
    </row>
    <row r="27" spans="2:16" ht="18" thickBot="1">
      <c r="B27" s="18" t="s">
        <v>3</v>
      </c>
      <c r="C27" s="19" t="s">
        <v>21</v>
      </c>
      <c r="D27" s="19" t="s">
        <v>22</v>
      </c>
      <c r="E27" s="30" t="s">
        <v>255</v>
      </c>
      <c r="F27" s="20" t="s">
        <v>276</v>
      </c>
      <c r="G27" s="20" t="s">
        <v>277</v>
      </c>
      <c r="H27" s="20" t="s">
        <v>284</v>
      </c>
      <c r="I27" s="21" t="s">
        <v>298</v>
      </c>
      <c r="J27" s="139"/>
      <c r="K27" s="139"/>
      <c r="L27" s="11"/>
      <c r="M27" s="26"/>
      <c r="N27" s="26"/>
      <c r="O27" s="26"/>
      <c r="P27" s="11"/>
    </row>
    <row r="28" spans="2:16" ht="18" thickBot="1">
      <c r="B28" s="3" t="s">
        <v>9</v>
      </c>
      <c r="C28" s="4" t="s">
        <v>23</v>
      </c>
      <c r="D28" s="4" t="s">
        <v>24</v>
      </c>
      <c r="E28" s="31" t="s">
        <v>190</v>
      </c>
      <c r="F28" s="2" t="s">
        <v>245</v>
      </c>
      <c r="G28" s="2" t="s">
        <v>70</v>
      </c>
      <c r="H28" s="2" t="s">
        <v>71</v>
      </c>
      <c r="I28" s="8" t="s">
        <v>191</v>
      </c>
      <c r="J28" s="139"/>
      <c r="K28" s="139"/>
      <c r="L28" s="11"/>
      <c r="M28" s="26"/>
      <c r="N28" s="26"/>
      <c r="O28" s="26"/>
      <c r="P28" s="11"/>
    </row>
    <row r="29" spans="2:16" ht="18" thickBot="1">
      <c r="B29" s="3" t="s">
        <v>9</v>
      </c>
      <c r="C29" s="4" t="s">
        <v>23</v>
      </c>
      <c r="D29" s="4" t="s">
        <v>25</v>
      </c>
      <c r="E29" s="31" t="s">
        <v>193</v>
      </c>
      <c r="F29" s="2" t="s">
        <v>246</v>
      </c>
      <c r="G29" s="2" t="s">
        <v>72</v>
      </c>
      <c r="H29" s="2" t="s">
        <v>73</v>
      </c>
      <c r="I29" s="8" t="s">
        <v>194</v>
      </c>
      <c r="J29" s="139"/>
      <c r="K29" s="139"/>
      <c r="L29" s="11"/>
      <c r="M29" s="26"/>
      <c r="N29" s="26"/>
      <c r="O29" s="26"/>
      <c r="P29" s="11"/>
    </row>
    <row r="30" spans="2:16" ht="19.8" thickBot="1">
      <c r="B30" s="3" t="s">
        <v>14</v>
      </c>
      <c r="C30" s="4" t="s">
        <v>26</v>
      </c>
      <c r="D30" s="4" t="s">
        <v>27</v>
      </c>
      <c r="E30" s="31" t="s">
        <v>196</v>
      </c>
      <c r="F30" s="2" t="s">
        <v>247</v>
      </c>
      <c r="G30" s="2" t="s">
        <v>74</v>
      </c>
      <c r="H30" s="2" t="s">
        <v>75</v>
      </c>
      <c r="I30" s="8" t="s">
        <v>212</v>
      </c>
      <c r="J30" s="139"/>
      <c r="K30" s="139"/>
      <c r="L30" s="10"/>
      <c r="M30" s="26"/>
      <c r="N30" s="26"/>
      <c r="O30" s="26"/>
      <c r="P30" s="10"/>
    </row>
    <row r="31" spans="2:16" ht="18" thickBot="1">
      <c r="B31" s="3" t="s">
        <v>14</v>
      </c>
      <c r="C31" s="4" t="s">
        <v>28</v>
      </c>
      <c r="D31" s="4" t="s">
        <v>27</v>
      </c>
      <c r="E31" s="31" t="s">
        <v>158</v>
      </c>
      <c r="F31" s="13" t="s">
        <v>248</v>
      </c>
      <c r="G31" s="13" t="s">
        <v>76</v>
      </c>
      <c r="H31" s="13" t="s">
        <v>213</v>
      </c>
      <c r="I31" s="14" t="s">
        <v>214</v>
      </c>
      <c r="J31" s="139"/>
      <c r="K31" s="139"/>
      <c r="L31" s="9"/>
      <c r="M31" s="32"/>
      <c r="N31" s="32"/>
      <c r="O31" s="32"/>
      <c r="P31" s="9"/>
    </row>
    <row r="32" spans="2:16" ht="18" thickBot="1">
      <c r="B32" s="3" t="s">
        <v>14</v>
      </c>
      <c r="C32" s="4" t="s">
        <v>26</v>
      </c>
      <c r="D32" s="4" t="s">
        <v>29</v>
      </c>
      <c r="E32" s="31" t="s">
        <v>197</v>
      </c>
      <c r="F32" s="15" t="s">
        <v>77</v>
      </c>
      <c r="G32" s="15" t="s">
        <v>78</v>
      </c>
      <c r="H32" s="15" t="s">
        <v>79</v>
      </c>
      <c r="I32" s="14" t="s">
        <v>215</v>
      </c>
      <c r="J32" s="139"/>
      <c r="K32" s="139"/>
      <c r="L32" s="9"/>
      <c r="M32" s="32"/>
      <c r="N32" s="32"/>
      <c r="O32" s="32"/>
      <c r="P32" s="9"/>
    </row>
    <row r="33" spans="2:16" ht="18" thickBot="1">
      <c r="B33" s="3" t="s">
        <v>14</v>
      </c>
      <c r="C33" s="4" t="s">
        <v>28</v>
      </c>
      <c r="D33" s="4" t="s">
        <v>29</v>
      </c>
      <c r="E33" s="31" t="s">
        <v>160</v>
      </c>
      <c r="F33" s="13" t="s">
        <v>80</v>
      </c>
      <c r="G33" s="13" t="s">
        <v>81</v>
      </c>
      <c r="H33" s="13" t="s">
        <v>216</v>
      </c>
      <c r="I33" s="14" t="s">
        <v>217</v>
      </c>
      <c r="J33" s="140"/>
      <c r="K33" s="140"/>
      <c r="L33" s="9"/>
      <c r="M33" s="32"/>
      <c r="N33" s="32"/>
      <c r="O33" s="32"/>
      <c r="P33" s="9"/>
    </row>
    <row r="34" spans="2:16">
      <c r="L34" s="9"/>
      <c r="M34" s="32"/>
      <c r="N34" s="32"/>
      <c r="O34" s="32"/>
      <c r="P34" s="9"/>
    </row>
    <row r="35" spans="2:16">
      <c r="L35" s="9"/>
      <c r="M35" s="32"/>
      <c r="N35" s="32"/>
      <c r="O35" s="32"/>
      <c r="P35" s="9"/>
    </row>
    <row r="36" spans="2:16">
      <c r="L36" s="9"/>
      <c r="M36" s="32"/>
      <c r="N36" s="32"/>
      <c r="O36" s="32"/>
      <c r="P36" s="9"/>
    </row>
    <row r="37" spans="2:16">
      <c r="L37" s="9"/>
      <c r="M37" s="32"/>
      <c r="N37" s="32"/>
      <c r="O37" s="32"/>
      <c r="P37" s="9"/>
    </row>
    <row r="38" spans="2:16" ht="19.8" thickBot="1">
      <c r="B38" s="25" t="s">
        <v>169</v>
      </c>
      <c r="C38" s="23"/>
      <c r="D38" s="23"/>
      <c r="E38" s="23"/>
      <c r="F38" s="23"/>
      <c r="G38" s="23"/>
      <c r="H38" s="23"/>
      <c r="L38" s="9"/>
      <c r="M38" s="32"/>
      <c r="N38" s="32"/>
      <c r="O38" s="32"/>
      <c r="P38" s="9"/>
    </row>
    <row r="39" spans="2:16" ht="18" thickBot="1">
      <c r="B39" s="137" t="s">
        <v>0</v>
      </c>
      <c r="C39" s="137" t="s">
        <v>1</v>
      </c>
      <c r="D39" s="137" t="s">
        <v>2</v>
      </c>
      <c r="E39" s="137" t="s">
        <v>139</v>
      </c>
      <c r="F39" s="141" t="s">
        <v>137</v>
      </c>
      <c r="G39" s="141"/>
      <c r="H39" s="137" t="s">
        <v>143</v>
      </c>
      <c r="I39" s="137" t="s">
        <v>138</v>
      </c>
      <c r="J39" s="137" t="s">
        <v>140</v>
      </c>
      <c r="K39" s="137" t="s">
        <v>141</v>
      </c>
      <c r="L39" s="9"/>
      <c r="M39" s="32"/>
      <c r="N39" s="32"/>
      <c r="O39" s="32"/>
      <c r="P39" s="9"/>
    </row>
    <row r="40" spans="2:16" ht="18" thickBot="1">
      <c r="B40" s="137"/>
      <c r="C40" s="137"/>
      <c r="D40" s="137"/>
      <c r="E40" s="137"/>
      <c r="F40" s="12" t="s">
        <v>30</v>
      </c>
      <c r="G40" s="12" t="s">
        <v>142</v>
      </c>
      <c r="H40" s="137"/>
      <c r="I40" s="137"/>
      <c r="J40" s="137"/>
      <c r="K40" s="137"/>
      <c r="L40" s="9"/>
      <c r="M40" s="32"/>
      <c r="N40" s="32"/>
      <c r="O40" s="32"/>
      <c r="P40" s="9"/>
    </row>
    <row r="41" spans="2:16" ht="18" thickBot="1">
      <c r="B41" s="3" t="s">
        <v>3</v>
      </c>
      <c r="C41" s="4" t="s">
        <v>4</v>
      </c>
      <c r="D41" s="4" t="s">
        <v>5</v>
      </c>
      <c r="E41" s="27" t="s">
        <v>161</v>
      </c>
      <c r="F41" s="15" t="s">
        <v>83</v>
      </c>
      <c r="G41" s="15" t="s">
        <v>84</v>
      </c>
      <c r="H41" s="15" t="s">
        <v>85</v>
      </c>
      <c r="I41" s="14" t="s">
        <v>218</v>
      </c>
      <c r="J41" s="138" t="s">
        <v>166</v>
      </c>
      <c r="K41" s="138" t="s">
        <v>167</v>
      </c>
      <c r="L41" s="9" t="b">
        <f>H41=N41</f>
        <v>1</v>
      </c>
      <c r="M41" s="32"/>
      <c r="N41" s="32" t="s">
        <v>304</v>
      </c>
      <c r="O41" s="32"/>
      <c r="P41" s="9"/>
    </row>
    <row r="42" spans="2:16" ht="18" thickBot="1">
      <c r="B42" s="5" t="s">
        <v>3</v>
      </c>
      <c r="C42" s="6" t="s">
        <v>6</v>
      </c>
      <c r="D42" s="6" t="s">
        <v>5</v>
      </c>
      <c r="E42" s="27" t="s">
        <v>144</v>
      </c>
      <c r="F42" s="13" t="s">
        <v>86</v>
      </c>
      <c r="G42" s="13" t="s">
        <v>87</v>
      </c>
      <c r="H42" s="13" t="s">
        <v>219</v>
      </c>
      <c r="I42" s="14" t="s">
        <v>220</v>
      </c>
      <c r="J42" s="139"/>
      <c r="K42" s="139"/>
      <c r="L42" s="9" t="b">
        <f t="shared" ref="L42:L66" si="0">H42=N42</f>
        <v>1</v>
      </c>
      <c r="M42" s="32"/>
      <c r="N42" s="32" t="s">
        <v>305</v>
      </c>
      <c r="O42" s="32"/>
      <c r="P42" s="9"/>
    </row>
    <row r="43" spans="2:16" ht="18" thickBot="1">
      <c r="B43" s="3" t="s">
        <v>3</v>
      </c>
      <c r="C43" s="4" t="s">
        <v>4</v>
      </c>
      <c r="D43" s="4" t="s">
        <v>7</v>
      </c>
      <c r="E43" s="28" t="s">
        <v>145</v>
      </c>
      <c r="F43" s="15" t="s">
        <v>88</v>
      </c>
      <c r="G43" s="15" t="s">
        <v>89</v>
      </c>
      <c r="H43" s="15" t="s">
        <v>90</v>
      </c>
      <c r="I43" s="14" t="s">
        <v>221</v>
      </c>
      <c r="J43" s="139"/>
      <c r="K43" s="139"/>
      <c r="L43" s="9" t="b">
        <f t="shared" si="0"/>
        <v>1</v>
      </c>
      <c r="M43" s="32"/>
      <c r="N43" s="32" t="s">
        <v>306</v>
      </c>
      <c r="O43" s="32"/>
      <c r="P43" s="9"/>
    </row>
    <row r="44" spans="2:16" ht="18" thickBot="1">
      <c r="B44" s="3" t="s">
        <v>3</v>
      </c>
      <c r="C44" s="4" t="s">
        <v>6</v>
      </c>
      <c r="D44" s="4" t="s">
        <v>7</v>
      </c>
      <c r="E44" s="29" t="s">
        <v>146</v>
      </c>
      <c r="F44" s="13" t="s">
        <v>91</v>
      </c>
      <c r="G44" s="13" t="s">
        <v>92</v>
      </c>
      <c r="H44" s="13" t="s">
        <v>93</v>
      </c>
      <c r="I44" s="14" t="s">
        <v>222</v>
      </c>
      <c r="J44" s="139"/>
      <c r="K44" s="139"/>
      <c r="L44" s="9" t="b">
        <f t="shared" si="0"/>
        <v>1</v>
      </c>
      <c r="M44" s="32"/>
      <c r="N44" s="32" t="s">
        <v>307</v>
      </c>
      <c r="O44" s="32"/>
      <c r="P44" s="9"/>
    </row>
    <row r="45" spans="2:16" ht="18" thickBot="1">
      <c r="B45" s="3" t="s">
        <v>3</v>
      </c>
      <c r="C45" s="4" t="s">
        <v>4</v>
      </c>
      <c r="D45" s="4" t="s">
        <v>8</v>
      </c>
      <c r="E45" s="28" t="s">
        <v>147</v>
      </c>
      <c r="F45" s="15" t="s">
        <v>94</v>
      </c>
      <c r="G45" s="15" t="s">
        <v>95</v>
      </c>
      <c r="H45" s="15" t="s">
        <v>96</v>
      </c>
      <c r="I45" s="14" t="s">
        <v>223</v>
      </c>
      <c r="J45" s="139"/>
      <c r="K45" s="139"/>
      <c r="L45" s="9" t="b">
        <f t="shared" si="0"/>
        <v>1</v>
      </c>
      <c r="M45" s="32"/>
      <c r="N45" s="26" t="s">
        <v>308</v>
      </c>
      <c r="O45" s="32"/>
      <c r="P45" s="9"/>
    </row>
    <row r="46" spans="2:16" ht="18" thickBot="1">
      <c r="B46" s="3" t="s">
        <v>3</v>
      </c>
      <c r="C46" s="4" t="s">
        <v>6</v>
      </c>
      <c r="D46" s="4" t="s">
        <v>8</v>
      </c>
      <c r="E46" s="28" t="s">
        <v>148</v>
      </c>
      <c r="F46" s="13" t="s">
        <v>97</v>
      </c>
      <c r="G46" s="13" t="s">
        <v>98</v>
      </c>
      <c r="H46" s="13" t="s">
        <v>99</v>
      </c>
      <c r="I46" s="14" t="s">
        <v>224</v>
      </c>
      <c r="J46" s="139"/>
      <c r="K46" s="139"/>
      <c r="L46" s="9" t="b">
        <f t="shared" si="0"/>
        <v>1</v>
      </c>
      <c r="M46" s="32"/>
      <c r="N46" s="26" t="s">
        <v>309</v>
      </c>
      <c r="O46" s="32"/>
      <c r="P46" s="9"/>
    </row>
    <row r="47" spans="2:16" ht="18" thickBot="1">
      <c r="B47" s="3" t="s">
        <v>9</v>
      </c>
      <c r="C47" s="4" t="s">
        <v>10</v>
      </c>
      <c r="D47" s="4" t="s">
        <v>11</v>
      </c>
      <c r="E47" s="28" t="s">
        <v>149</v>
      </c>
      <c r="F47" s="15" t="s">
        <v>100</v>
      </c>
      <c r="G47" s="15" t="s">
        <v>101</v>
      </c>
      <c r="H47" s="15" t="s">
        <v>102</v>
      </c>
      <c r="I47" s="14" t="s">
        <v>174</v>
      </c>
      <c r="J47" s="139"/>
      <c r="K47" s="139"/>
      <c r="L47" s="9" t="b">
        <f t="shared" si="0"/>
        <v>1</v>
      </c>
      <c r="M47" s="32"/>
      <c r="N47" s="26" t="s">
        <v>310</v>
      </c>
      <c r="O47" s="32"/>
      <c r="P47" s="9"/>
    </row>
    <row r="48" spans="2:16" ht="18" thickBot="1">
      <c r="B48" s="3" t="s">
        <v>9</v>
      </c>
      <c r="C48" s="4" t="s">
        <v>12</v>
      </c>
      <c r="D48" s="4" t="s">
        <v>13</v>
      </c>
      <c r="E48" s="28" t="s">
        <v>150</v>
      </c>
      <c r="F48" s="15" t="s">
        <v>103</v>
      </c>
      <c r="G48" s="15" t="s">
        <v>104</v>
      </c>
      <c r="H48" s="15" t="s">
        <v>105</v>
      </c>
      <c r="I48" s="14" t="s">
        <v>177</v>
      </c>
      <c r="J48" s="139"/>
      <c r="K48" s="139"/>
      <c r="L48" s="9" t="b">
        <f t="shared" si="0"/>
        <v>1</v>
      </c>
      <c r="M48" s="32"/>
      <c r="N48" s="26" t="s">
        <v>311</v>
      </c>
      <c r="O48" s="32"/>
      <c r="P48" s="9"/>
    </row>
    <row r="49" spans="2:16" ht="18" thickBot="1">
      <c r="B49" s="3" t="s">
        <v>14</v>
      </c>
      <c r="C49" s="4" t="s">
        <v>15</v>
      </c>
      <c r="D49" s="4" t="s">
        <v>16</v>
      </c>
      <c r="E49" s="28" t="s">
        <v>151</v>
      </c>
      <c r="F49" s="15" t="s">
        <v>106</v>
      </c>
      <c r="G49" s="15" t="s">
        <v>107</v>
      </c>
      <c r="H49" s="15" t="s">
        <v>108</v>
      </c>
      <c r="I49" s="14" t="s">
        <v>225</v>
      </c>
      <c r="J49" s="139"/>
      <c r="K49" s="139"/>
      <c r="L49" s="9" t="b">
        <f t="shared" si="0"/>
        <v>1</v>
      </c>
      <c r="M49" s="32"/>
      <c r="N49" s="26" t="s">
        <v>312</v>
      </c>
      <c r="O49" s="32"/>
      <c r="P49" s="9"/>
    </row>
    <row r="50" spans="2:16" ht="18" thickBot="1">
      <c r="B50" s="3" t="s">
        <v>14</v>
      </c>
      <c r="C50" s="4" t="s">
        <v>17</v>
      </c>
      <c r="D50" s="4" t="s">
        <v>16</v>
      </c>
      <c r="E50" s="28" t="s">
        <v>152</v>
      </c>
      <c r="F50" s="13" t="s">
        <v>109</v>
      </c>
      <c r="G50" s="13" t="s">
        <v>110</v>
      </c>
      <c r="H50" s="13" t="s">
        <v>226</v>
      </c>
      <c r="I50" s="14" t="s">
        <v>227</v>
      </c>
      <c r="J50" s="139"/>
      <c r="K50" s="139"/>
      <c r="L50" s="9" t="b">
        <f t="shared" si="0"/>
        <v>1</v>
      </c>
      <c r="M50" s="32"/>
      <c r="N50" s="26" t="s">
        <v>313</v>
      </c>
      <c r="O50" s="32"/>
      <c r="P50" s="9"/>
    </row>
    <row r="51" spans="2:16" ht="18" thickBot="1">
      <c r="B51" s="3" t="s">
        <v>14</v>
      </c>
      <c r="C51" s="4" t="s">
        <v>15</v>
      </c>
      <c r="D51" s="4" t="s">
        <v>18</v>
      </c>
      <c r="E51" s="28" t="s">
        <v>153</v>
      </c>
      <c r="F51" s="15" t="s">
        <v>111</v>
      </c>
      <c r="G51" s="15" t="s">
        <v>112</v>
      </c>
      <c r="H51" s="15" t="s">
        <v>113</v>
      </c>
      <c r="I51" s="14" t="s">
        <v>181</v>
      </c>
      <c r="J51" s="139"/>
      <c r="K51" s="139"/>
      <c r="L51" s="9" t="b">
        <f t="shared" si="0"/>
        <v>1</v>
      </c>
      <c r="M51" s="32"/>
      <c r="N51" s="26" t="s">
        <v>314</v>
      </c>
      <c r="O51" s="32"/>
      <c r="P51" s="9"/>
    </row>
    <row r="52" spans="2:16" ht="18" thickBot="1">
      <c r="B52" s="3" t="s">
        <v>14</v>
      </c>
      <c r="C52" s="4" t="s">
        <v>17</v>
      </c>
      <c r="D52" s="4" t="s">
        <v>18</v>
      </c>
      <c r="E52" s="28" t="s">
        <v>154</v>
      </c>
      <c r="F52" s="13" t="s">
        <v>114</v>
      </c>
      <c r="G52" s="13" t="s">
        <v>115</v>
      </c>
      <c r="H52" s="13" t="s">
        <v>228</v>
      </c>
      <c r="I52" s="14" t="s">
        <v>229</v>
      </c>
      <c r="J52" s="139"/>
      <c r="K52" s="139"/>
      <c r="L52" s="9" t="b">
        <f t="shared" si="0"/>
        <v>1</v>
      </c>
      <c r="M52" s="32"/>
      <c r="N52" s="26" t="s">
        <v>315</v>
      </c>
      <c r="O52" s="32"/>
      <c r="P52" s="9"/>
    </row>
    <row r="53" spans="2:16" ht="18" thickBot="1">
      <c r="B53" s="16" t="s">
        <v>3</v>
      </c>
      <c r="C53" s="17" t="s">
        <v>239</v>
      </c>
      <c r="D53" s="17" t="s">
        <v>19</v>
      </c>
      <c r="E53" s="28" t="s">
        <v>182</v>
      </c>
      <c r="F53" s="13" t="s">
        <v>116</v>
      </c>
      <c r="G53" s="13" t="s">
        <v>185</v>
      </c>
      <c r="H53" s="13" t="s">
        <v>258</v>
      </c>
      <c r="I53" s="14" t="s">
        <v>275</v>
      </c>
      <c r="J53" s="139"/>
      <c r="K53" s="139"/>
      <c r="L53" s="9" t="b">
        <f t="shared" si="0"/>
        <v>1</v>
      </c>
      <c r="N53" s="26" t="s">
        <v>316</v>
      </c>
    </row>
    <row r="54" spans="2:16" ht="18" thickBot="1">
      <c r="B54" s="18" t="s">
        <v>3</v>
      </c>
      <c r="C54" s="19" t="s">
        <v>257</v>
      </c>
      <c r="D54" s="19" t="s">
        <v>19</v>
      </c>
      <c r="E54" s="30" t="s">
        <v>268</v>
      </c>
      <c r="F54" s="20" t="s">
        <v>278</v>
      </c>
      <c r="G54" s="20" t="s">
        <v>279</v>
      </c>
      <c r="H54" s="20" t="s">
        <v>285</v>
      </c>
      <c r="I54" s="21" t="s">
        <v>294</v>
      </c>
      <c r="J54" s="139"/>
      <c r="K54" s="139"/>
      <c r="L54" s="9" t="b">
        <f t="shared" si="0"/>
        <v>1</v>
      </c>
      <c r="N54" s="26" t="s">
        <v>317</v>
      </c>
    </row>
    <row r="55" spans="2:16" ht="18" thickBot="1">
      <c r="B55" s="16" t="s">
        <v>3</v>
      </c>
      <c r="C55" s="17" t="s">
        <v>253</v>
      </c>
      <c r="D55" s="17" t="s">
        <v>19</v>
      </c>
      <c r="E55" s="28" t="s">
        <v>186</v>
      </c>
      <c r="F55" s="13" t="s">
        <v>117</v>
      </c>
      <c r="G55" s="13" t="s">
        <v>118</v>
      </c>
      <c r="H55" s="13" t="s">
        <v>230</v>
      </c>
      <c r="I55" s="14" t="s">
        <v>184</v>
      </c>
      <c r="J55" s="139"/>
      <c r="K55" s="139"/>
      <c r="L55" s="9" t="b">
        <f t="shared" si="0"/>
        <v>1</v>
      </c>
      <c r="N55" s="26" t="s">
        <v>318</v>
      </c>
    </row>
    <row r="56" spans="2:16" ht="18" thickBot="1">
      <c r="B56" s="18" t="s">
        <v>3</v>
      </c>
      <c r="C56" s="19" t="s">
        <v>269</v>
      </c>
      <c r="D56" s="19" t="s">
        <v>19</v>
      </c>
      <c r="E56" s="30" t="s">
        <v>188</v>
      </c>
      <c r="F56" s="20" t="s">
        <v>280</v>
      </c>
      <c r="G56" s="20" t="s">
        <v>281</v>
      </c>
      <c r="H56" s="20" t="s">
        <v>286</v>
      </c>
      <c r="I56" s="21" t="s">
        <v>287</v>
      </c>
      <c r="J56" s="139"/>
      <c r="K56" s="139"/>
      <c r="L56" s="9" t="b">
        <f t="shared" si="0"/>
        <v>1</v>
      </c>
      <c r="N56" s="26" t="s">
        <v>319</v>
      </c>
    </row>
    <row r="57" spans="2:16" ht="18" thickBot="1">
      <c r="B57" s="16" t="s">
        <v>3</v>
      </c>
      <c r="C57" s="17" t="s">
        <v>239</v>
      </c>
      <c r="D57" s="17" t="s">
        <v>22</v>
      </c>
      <c r="E57" s="28" t="s">
        <v>259</v>
      </c>
      <c r="F57" s="13" t="s">
        <v>260</v>
      </c>
      <c r="G57" s="13" t="s">
        <v>119</v>
      </c>
      <c r="H57" s="13" t="s">
        <v>120</v>
      </c>
      <c r="I57" s="14" t="s">
        <v>231</v>
      </c>
      <c r="J57" s="139"/>
      <c r="K57" s="139"/>
      <c r="L57" s="9" t="b">
        <f t="shared" si="0"/>
        <v>1</v>
      </c>
      <c r="N57" s="26" t="s">
        <v>320</v>
      </c>
    </row>
    <row r="58" spans="2:16" ht="18" thickBot="1">
      <c r="B58" s="18" t="s">
        <v>3</v>
      </c>
      <c r="C58" s="19" t="s">
        <v>270</v>
      </c>
      <c r="D58" s="19" t="s">
        <v>22</v>
      </c>
      <c r="E58" s="30" t="s">
        <v>271</v>
      </c>
      <c r="F58" s="20" t="s">
        <v>288</v>
      </c>
      <c r="G58" s="20" t="s">
        <v>289</v>
      </c>
      <c r="H58" s="20" t="s">
        <v>290</v>
      </c>
      <c r="I58" s="21" t="s">
        <v>297</v>
      </c>
      <c r="J58" s="139"/>
      <c r="K58" s="139"/>
      <c r="L58" s="9" t="b">
        <f t="shared" si="0"/>
        <v>1</v>
      </c>
      <c r="N58" s="26" t="s">
        <v>321</v>
      </c>
    </row>
    <row r="59" spans="2:16" ht="18" thickBot="1">
      <c r="B59" s="16" t="s">
        <v>3</v>
      </c>
      <c r="C59" s="17" t="s">
        <v>261</v>
      </c>
      <c r="D59" s="17" t="s">
        <v>22</v>
      </c>
      <c r="E59" s="28" t="s">
        <v>262</v>
      </c>
      <c r="F59" s="13" t="s">
        <v>263</v>
      </c>
      <c r="G59" s="13" t="s">
        <v>121</v>
      </c>
      <c r="H59" s="13" t="s">
        <v>232</v>
      </c>
      <c r="I59" s="14" t="s">
        <v>264</v>
      </c>
      <c r="J59" s="139"/>
      <c r="K59" s="139"/>
      <c r="L59" s="9" t="b">
        <f t="shared" si="0"/>
        <v>1</v>
      </c>
      <c r="N59" s="26" t="s">
        <v>322</v>
      </c>
    </row>
    <row r="60" spans="2:16" ht="18" thickBot="1">
      <c r="B60" s="18" t="s">
        <v>3</v>
      </c>
      <c r="C60" s="19" t="s">
        <v>269</v>
      </c>
      <c r="D60" s="19" t="s">
        <v>22</v>
      </c>
      <c r="E60" s="30" t="s">
        <v>256</v>
      </c>
      <c r="F60" s="20" t="s">
        <v>291</v>
      </c>
      <c r="G60" s="20" t="s">
        <v>292</v>
      </c>
      <c r="H60" s="20" t="s">
        <v>295</v>
      </c>
      <c r="I60" s="21" t="s">
        <v>299</v>
      </c>
      <c r="J60" s="139"/>
      <c r="K60" s="139"/>
      <c r="L60" s="9" t="b">
        <f t="shared" si="0"/>
        <v>1</v>
      </c>
      <c r="N60" s="26" t="s">
        <v>323</v>
      </c>
    </row>
    <row r="61" spans="2:16" ht="18" thickBot="1">
      <c r="B61" s="3" t="s">
        <v>9</v>
      </c>
      <c r="C61" s="4" t="s">
        <v>23</v>
      </c>
      <c r="D61" s="4" t="s">
        <v>24</v>
      </c>
      <c r="E61" s="31" t="s">
        <v>155</v>
      </c>
      <c r="F61" s="2" t="s">
        <v>122</v>
      </c>
      <c r="G61" s="2" t="s">
        <v>123</v>
      </c>
      <c r="H61" s="2" t="s">
        <v>124</v>
      </c>
      <c r="I61" s="8" t="s">
        <v>192</v>
      </c>
      <c r="J61" s="139"/>
      <c r="K61" s="139"/>
      <c r="L61" s="9" t="b">
        <f t="shared" si="0"/>
        <v>1</v>
      </c>
      <c r="N61" s="26" t="s">
        <v>324</v>
      </c>
    </row>
    <row r="62" spans="2:16" ht="18" thickBot="1">
      <c r="B62" s="3" t="s">
        <v>9</v>
      </c>
      <c r="C62" s="4" t="s">
        <v>23</v>
      </c>
      <c r="D62" s="4" t="s">
        <v>25</v>
      </c>
      <c r="E62" s="31" t="s">
        <v>156</v>
      </c>
      <c r="F62" s="2" t="s">
        <v>125</v>
      </c>
      <c r="G62" s="2" t="s">
        <v>126</v>
      </c>
      <c r="H62" s="2" t="s">
        <v>249</v>
      </c>
      <c r="I62" s="8" t="s">
        <v>195</v>
      </c>
      <c r="J62" s="139"/>
      <c r="K62" s="139"/>
      <c r="L62" s="9" t="b">
        <f t="shared" si="0"/>
        <v>1</v>
      </c>
      <c r="N62" s="26" t="s">
        <v>325</v>
      </c>
    </row>
    <row r="63" spans="2:16" ht="18" thickBot="1">
      <c r="B63" s="3" t="s">
        <v>14</v>
      </c>
      <c r="C63" s="4" t="s">
        <v>26</v>
      </c>
      <c r="D63" s="4" t="s">
        <v>27</v>
      </c>
      <c r="E63" s="31" t="s">
        <v>157</v>
      </c>
      <c r="F63" s="15" t="s">
        <v>127</v>
      </c>
      <c r="G63" s="15" t="s">
        <v>128</v>
      </c>
      <c r="H63" s="15" t="s">
        <v>129</v>
      </c>
      <c r="I63" s="14" t="s">
        <v>233</v>
      </c>
      <c r="J63" s="139"/>
      <c r="K63" s="139"/>
      <c r="L63" s="9" t="b">
        <f t="shared" si="0"/>
        <v>1</v>
      </c>
      <c r="N63" s="26" t="s">
        <v>326</v>
      </c>
    </row>
    <row r="64" spans="2:16" ht="18" thickBot="1">
      <c r="B64" s="3" t="s">
        <v>14</v>
      </c>
      <c r="C64" s="4" t="s">
        <v>28</v>
      </c>
      <c r="D64" s="4" t="s">
        <v>27</v>
      </c>
      <c r="E64" s="31" t="s">
        <v>158</v>
      </c>
      <c r="F64" s="13" t="s">
        <v>130</v>
      </c>
      <c r="G64" s="13" t="s">
        <v>131</v>
      </c>
      <c r="H64" s="13" t="s">
        <v>234</v>
      </c>
      <c r="I64" s="14" t="s">
        <v>235</v>
      </c>
      <c r="J64" s="139"/>
      <c r="K64" s="139"/>
      <c r="L64" s="9" t="b">
        <f t="shared" si="0"/>
        <v>1</v>
      </c>
      <c r="N64" s="26" t="s">
        <v>327</v>
      </c>
    </row>
    <row r="65" spans="2:14" ht="18" thickBot="1">
      <c r="B65" s="3" t="s">
        <v>14</v>
      </c>
      <c r="C65" s="4" t="s">
        <v>26</v>
      </c>
      <c r="D65" s="4" t="s">
        <v>29</v>
      </c>
      <c r="E65" s="31" t="s">
        <v>159</v>
      </c>
      <c r="F65" s="15" t="s">
        <v>132</v>
      </c>
      <c r="G65" s="15" t="s">
        <v>133</v>
      </c>
      <c r="H65" s="15" t="s">
        <v>134</v>
      </c>
      <c r="I65" s="14" t="s">
        <v>236</v>
      </c>
      <c r="J65" s="139"/>
      <c r="K65" s="139"/>
      <c r="L65" s="9" t="b">
        <f t="shared" si="0"/>
        <v>1</v>
      </c>
      <c r="N65" s="26" t="s">
        <v>328</v>
      </c>
    </row>
    <row r="66" spans="2:14" ht="18" thickBot="1">
      <c r="B66" s="3" t="s">
        <v>14</v>
      </c>
      <c r="C66" s="4" t="s">
        <v>28</v>
      </c>
      <c r="D66" s="4" t="s">
        <v>29</v>
      </c>
      <c r="E66" s="31" t="s">
        <v>160</v>
      </c>
      <c r="F66" s="13" t="s">
        <v>135</v>
      </c>
      <c r="G66" s="13" t="s">
        <v>136</v>
      </c>
      <c r="H66" s="13" t="s">
        <v>237</v>
      </c>
      <c r="I66" s="14" t="s">
        <v>238</v>
      </c>
      <c r="J66" s="140"/>
      <c r="K66" s="140"/>
      <c r="L66" s="9" t="b">
        <f t="shared" si="0"/>
        <v>1</v>
      </c>
      <c r="N66" s="26" t="s">
        <v>329</v>
      </c>
    </row>
  </sheetData>
  <mergeCells count="22">
    <mergeCell ref="J41:J66"/>
    <mergeCell ref="K41:K66"/>
    <mergeCell ref="H39:H40"/>
    <mergeCell ref="I39:I40"/>
    <mergeCell ref="J39:J40"/>
    <mergeCell ref="K39:K40"/>
    <mergeCell ref="B39:B40"/>
    <mergeCell ref="C39:C40"/>
    <mergeCell ref="D39:D40"/>
    <mergeCell ref="E39:E40"/>
    <mergeCell ref="F39:G39"/>
    <mergeCell ref="I6:I7"/>
    <mergeCell ref="J6:J7"/>
    <mergeCell ref="K6:K7"/>
    <mergeCell ref="K8:K33"/>
    <mergeCell ref="B6:B7"/>
    <mergeCell ref="C6:C7"/>
    <mergeCell ref="D6:D7"/>
    <mergeCell ref="E6:E7"/>
    <mergeCell ref="H6:H7"/>
    <mergeCell ref="F6:G6"/>
    <mergeCell ref="J8:J33"/>
  </mergeCells>
  <phoneticPr fontId="3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T61"/>
  <sheetViews>
    <sheetView zoomScale="85" zoomScaleNormal="85" workbookViewId="0">
      <selection activeCell="I8" sqref="I8"/>
    </sheetView>
  </sheetViews>
  <sheetFormatPr defaultRowHeight="17.399999999999999"/>
  <cols>
    <col min="2" max="2" width="19.8984375" style="125" bestFit="1" customWidth="1"/>
    <col min="3" max="3" width="9.69921875" style="125" bestFit="1" customWidth="1"/>
    <col min="4" max="4" width="6.5" style="125" bestFit="1" customWidth="1"/>
    <col min="5" max="5" width="34" style="125" bestFit="1" customWidth="1"/>
    <col min="6" max="6" width="13.796875" style="126" bestFit="1" customWidth="1"/>
    <col min="7" max="7" width="12.5" style="125" bestFit="1" customWidth="1"/>
    <col min="8" max="10" width="9.09765625" style="127" customWidth="1"/>
    <col min="11" max="11" width="6.5" style="125" bestFit="1" customWidth="1"/>
    <col min="12" max="12" width="12.8984375" style="125" bestFit="1" customWidth="1"/>
    <col min="13" max="13" width="9.69921875" style="125" bestFit="1" customWidth="1"/>
    <col min="14" max="14" width="6.5" style="125" bestFit="1" customWidth="1"/>
    <col min="15" max="15" width="29.796875" style="125" bestFit="1" customWidth="1"/>
    <col min="16" max="16" width="25" style="126" customWidth="1"/>
    <col min="17" max="17" width="39.59765625" style="125" customWidth="1"/>
    <col min="18" max="18" width="43.3984375" customWidth="1"/>
    <col min="19" max="19" width="27.3984375" customWidth="1"/>
    <col min="20" max="20" width="217.59765625" customWidth="1"/>
  </cols>
  <sheetData>
    <row r="1" spans="2:20">
      <c r="B1" s="124" t="s">
        <v>718</v>
      </c>
      <c r="L1" s="128" t="s">
        <v>719</v>
      </c>
      <c r="M1" s="128"/>
    </row>
    <row r="2" spans="2:20">
      <c r="B2" s="129" t="s">
        <v>765</v>
      </c>
    </row>
    <row r="3" spans="2:20">
      <c r="B3" s="107" t="s">
        <v>766</v>
      </c>
      <c r="C3" s="107" t="s">
        <v>1</v>
      </c>
      <c r="D3" s="107" t="s">
        <v>2</v>
      </c>
      <c r="E3" s="107" t="s">
        <v>755</v>
      </c>
      <c r="F3" s="107" t="s">
        <v>756</v>
      </c>
      <c r="G3" s="107" t="s">
        <v>760</v>
      </c>
      <c r="H3" s="121"/>
      <c r="I3" s="121"/>
      <c r="J3" s="121"/>
      <c r="K3" s="107" t="s">
        <v>0</v>
      </c>
      <c r="L3" s="107" t="s">
        <v>1</v>
      </c>
      <c r="M3" s="107" t="s">
        <v>1</v>
      </c>
      <c r="N3" s="107" t="s">
        <v>2</v>
      </c>
      <c r="O3" s="107" t="s">
        <v>757</v>
      </c>
      <c r="P3" s="107" t="s">
        <v>764</v>
      </c>
      <c r="Q3" s="114" t="s">
        <v>759</v>
      </c>
      <c r="R3" s="117" t="s">
        <v>761</v>
      </c>
      <c r="T3" s="107" t="s">
        <v>762</v>
      </c>
    </row>
    <row r="4" spans="2:20" ht="46.8">
      <c r="B4" s="105" t="s">
        <v>3</v>
      </c>
      <c r="C4" s="106" t="s">
        <v>4</v>
      </c>
      <c r="D4" s="115" t="s">
        <v>5</v>
      </c>
      <c r="E4" s="108" t="s">
        <v>722</v>
      </c>
      <c r="F4" s="152" t="s">
        <v>729</v>
      </c>
      <c r="G4" s="149" t="s">
        <v>163</v>
      </c>
      <c r="H4" s="122"/>
      <c r="I4" s="122"/>
      <c r="J4" s="122"/>
      <c r="K4" s="156"/>
      <c r="L4" s="155" t="s">
        <v>720</v>
      </c>
      <c r="M4" s="106" t="s">
        <v>4</v>
      </c>
      <c r="N4" s="106" t="s">
        <v>5</v>
      </c>
      <c r="O4" s="155" t="s">
        <v>726</v>
      </c>
      <c r="P4" s="119" t="s">
        <v>763</v>
      </c>
      <c r="Q4" s="143" t="s">
        <v>758</v>
      </c>
      <c r="R4" s="146"/>
      <c r="T4" s="133"/>
    </row>
    <row r="5" spans="2:20" ht="46.8">
      <c r="B5" s="105" t="s">
        <v>3</v>
      </c>
      <c r="C5" s="106" t="s">
        <v>6</v>
      </c>
      <c r="D5" s="115" t="s">
        <v>5</v>
      </c>
      <c r="E5" s="109" t="s">
        <v>36</v>
      </c>
      <c r="F5" s="153"/>
      <c r="G5" s="150"/>
      <c r="H5" s="122"/>
      <c r="I5" s="122"/>
      <c r="J5" s="122"/>
      <c r="K5" s="157"/>
      <c r="L5" s="155"/>
      <c r="M5" s="106" t="s">
        <v>6</v>
      </c>
      <c r="N5" s="106" t="s">
        <v>5</v>
      </c>
      <c r="O5" s="155"/>
      <c r="P5" s="119" t="s">
        <v>730</v>
      </c>
      <c r="Q5" s="144"/>
      <c r="R5" s="147"/>
      <c r="T5" s="133"/>
    </row>
    <row r="6" spans="2:20" ht="46.8">
      <c r="B6" s="105" t="s">
        <v>3</v>
      </c>
      <c r="C6" s="106" t="s">
        <v>4</v>
      </c>
      <c r="D6" s="115" t="s">
        <v>7</v>
      </c>
      <c r="E6" s="108" t="s">
        <v>39</v>
      </c>
      <c r="F6" s="153"/>
      <c r="G6" s="150"/>
      <c r="H6" s="122"/>
      <c r="I6" s="122"/>
      <c r="J6" s="122"/>
      <c r="K6" s="157"/>
      <c r="L6" s="155"/>
      <c r="M6" s="106" t="s">
        <v>4</v>
      </c>
      <c r="N6" s="106" t="s">
        <v>7</v>
      </c>
      <c r="O6" s="155"/>
      <c r="P6" s="119" t="s">
        <v>731</v>
      </c>
      <c r="Q6" s="144"/>
      <c r="R6" s="147"/>
      <c r="T6" s="133"/>
    </row>
    <row r="7" spans="2:20" ht="46.8">
      <c r="B7" s="105" t="s">
        <v>3</v>
      </c>
      <c r="C7" s="106" t="s">
        <v>6</v>
      </c>
      <c r="D7" s="115" t="s">
        <v>7</v>
      </c>
      <c r="E7" s="109" t="s">
        <v>42</v>
      </c>
      <c r="F7" s="153"/>
      <c r="G7" s="150"/>
      <c r="H7" s="122"/>
      <c r="I7" s="122"/>
      <c r="J7" s="122"/>
      <c r="K7" s="157"/>
      <c r="L7" s="155"/>
      <c r="M7" s="106" t="s">
        <v>6</v>
      </c>
      <c r="N7" s="106" t="s">
        <v>7</v>
      </c>
      <c r="O7" s="155"/>
      <c r="P7" s="119" t="s">
        <v>732</v>
      </c>
      <c r="Q7" s="144"/>
      <c r="R7" s="147"/>
      <c r="T7" s="133"/>
    </row>
    <row r="8" spans="2:20" ht="46.8">
      <c r="B8" s="105" t="s">
        <v>3</v>
      </c>
      <c r="C8" s="106" t="s">
        <v>4</v>
      </c>
      <c r="D8" s="115" t="s">
        <v>8</v>
      </c>
      <c r="E8" s="108" t="s">
        <v>44</v>
      </c>
      <c r="F8" s="153"/>
      <c r="G8" s="150"/>
      <c r="H8" s="122"/>
      <c r="I8" s="122"/>
      <c r="J8" s="122"/>
      <c r="K8" s="157"/>
      <c r="L8" s="155"/>
      <c r="M8" s="106" t="s">
        <v>4</v>
      </c>
      <c r="N8" s="106" t="s">
        <v>8</v>
      </c>
      <c r="O8" s="155"/>
      <c r="P8" s="119" t="s">
        <v>733</v>
      </c>
      <c r="Q8" s="144"/>
      <c r="R8" s="147"/>
      <c r="T8" s="133"/>
    </row>
    <row r="9" spans="2:20" ht="46.8">
      <c r="B9" s="105" t="s">
        <v>3</v>
      </c>
      <c r="C9" s="106" t="s">
        <v>6</v>
      </c>
      <c r="D9" s="115" t="s">
        <v>8</v>
      </c>
      <c r="E9" s="109" t="s">
        <v>202</v>
      </c>
      <c r="F9" s="153"/>
      <c r="G9" s="150"/>
      <c r="H9" s="122"/>
      <c r="I9" s="122"/>
      <c r="J9" s="122"/>
      <c r="K9" s="157"/>
      <c r="L9" s="155"/>
      <c r="M9" s="106" t="s">
        <v>6</v>
      </c>
      <c r="N9" s="106" t="s">
        <v>8</v>
      </c>
      <c r="O9" s="155"/>
      <c r="P9" s="119" t="s">
        <v>734</v>
      </c>
      <c r="Q9" s="144"/>
      <c r="R9" s="147"/>
      <c r="T9" s="133"/>
    </row>
    <row r="10" spans="2:20" ht="46.8">
      <c r="B10" s="105" t="s">
        <v>9</v>
      </c>
      <c r="C10" s="106" t="s">
        <v>10</v>
      </c>
      <c r="D10" s="115" t="s">
        <v>11</v>
      </c>
      <c r="E10" s="108" t="s">
        <v>49</v>
      </c>
      <c r="F10" s="153"/>
      <c r="G10" s="150"/>
      <c r="H10" s="122"/>
      <c r="I10" s="122"/>
      <c r="J10" s="122"/>
      <c r="K10" s="157"/>
      <c r="L10" s="155"/>
      <c r="M10" s="106" t="s">
        <v>10</v>
      </c>
      <c r="N10" s="106" t="s">
        <v>11</v>
      </c>
      <c r="O10" s="155"/>
      <c r="P10" s="119" t="s">
        <v>735</v>
      </c>
      <c r="Q10" s="144"/>
      <c r="R10" s="147"/>
      <c r="T10" s="133"/>
    </row>
    <row r="11" spans="2:20" ht="46.8">
      <c r="B11" s="105" t="s">
        <v>9</v>
      </c>
      <c r="C11" s="106" t="s">
        <v>12</v>
      </c>
      <c r="D11" s="115" t="s">
        <v>13</v>
      </c>
      <c r="E11" s="108" t="s">
        <v>52</v>
      </c>
      <c r="F11" s="153"/>
      <c r="G11" s="150"/>
      <c r="H11" s="122"/>
      <c r="I11" s="122"/>
      <c r="J11" s="122"/>
      <c r="K11" s="157"/>
      <c r="L11" s="155"/>
      <c r="M11" s="106" t="s">
        <v>12</v>
      </c>
      <c r="N11" s="106" t="s">
        <v>13</v>
      </c>
      <c r="O11" s="155"/>
      <c r="P11" s="119" t="s">
        <v>736</v>
      </c>
      <c r="Q11" s="144"/>
      <c r="R11" s="147"/>
      <c r="T11" s="133"/>
    </row>
    <row r="12" spans="2:20" ht="46.8">
      <c r="B12" s="105" t="s">
        <v>14</v>
      </c>
      <c r="C12" s="106" t="s">
        <v>15</v>
      </c>
      <c r="D12" s="115" t="s">
        <v>16</v>
      </c>
      <c r="E12" s="108" t="s">
        <v>54</v>
      </c>
      <c r="F12" s="153"/>
      <c r="G12" s="150"/>
      <c r="H12" s="122"/>
      <c r="I12" s="122"/>
      <c r="J12" s="122"/>
      <c r="K12" s="157"/>
      <c r="L12" s="155"/>
      <c r="M12" s="106" t="s">
        <v>15</v>
      </c>
      <c r="N12" s="106" t="s">
        <v>16</v>
      </c>
      <c r="O12" s="155"/>
      <c r="P12" s="119" t="s">
        <v>737</v>
      </c>
      <c r="Q12" s="144"/>
      <c r="R12" s="147"/>
      <c r="T12" s="133"/>
    </row>
    <row r="13" spans="2:20" ht="46.8">
      <c r="B13" s="105" t="s">
        <v>14</v>
      </c>
      <c r="C13" s="106" t="s">
        <v>17</v>
      </c>
      <c r="D13" s="115" t="s">
        <v>16</v>
      </c>
      <c r="E13" s="109" t="s">
        <v>205</v>
      </c>
      <c r="F13" s="153"/>
      <c r="G13" s="150"/>
      <c r="H13" s="122"/>
      <c r="I13" s="122"/>
      <c r="J13" s="122"/>
      <c r="K13" s="157"/>
      <c r="L13" s="155"/>
      <c r="M13" s="106" t="s">
        <v>17</v>
      </c>
      <c r="N13" s="106" t="s">
        <v>16</v>
      </c>
      <c r="O13" s="155"/>
      <c r="P13" s="119" t="s">
        <v>738</v>
      </c>
      <c r="Q13" s="144"/>
      <c r="R13" s="147"/>
      <c r="T13" s="133"/>
    </row>
    <row r="14" spans="2:20" ht="46.8">
      <c r="B14" s="105" t="s">
        <v>14</v>
      </c>
      <c r="C14" s="106" t="s">
        <v>15</v>
      </c>
      <c r="D14" s="115" t="s">
        <v>18</v>
      </c>
      <c r="E14" s="108" t="s">
        <v>58</v>
      </c>
      <c r="F14" s="153"/>
      <c r="G14" s="150"/>
      <c r="H14" s="122"/>
      <c r="I14" s="122"/>
      <c r="J14" s="122"/>
      <c r="K14" s="157"/>
      <c r="L14" s="155"/>
      <c r="M14" s="106" t="s">
        <v>15</v>
      </c>
      <c r="N14" s="106" t="s">
        <v>18</v>
      </c>
      <c r="O14" s="155"/>
      <c r="P14" s="119" t="s">
        <v>739</v>
      </c>
      <c r="Q14" s="144"/>
      <c r="R14" s="147"/>
      <c r="T14" s="133"/>
    </row>
    <row r="15" spans="2:20" ht="46.8">
      <c r="B15" s="105" t="s">
        <v>14</v>
      </c>
      <c r="C15" s="106" t="s">
        <v>17</v>
      </c>
      <c r="D15" s="115" t="s">
        <v>18</v>
      </c>
      <c r="E15" s="109" t="s">
        <v>61</v>
      </c>
      <c r="F15" s="153"/>
      <c r="G15" s="150"/>
      <c r="H15" s="122"/>
      <c r="I15" s="122"/>
      <c r="J15" s="122"/>
      <c r="K15" s="157"/>
      <c r="L15" s="155"/>
      <c r="M15" s="106" t="s">
        <v>17</v>
      </c>
      <c r="N15" s="106" t="s">
        <v>18</v>
      </c>
      <c r="O15" s="155"/>
      <c r="P15" s="119" t="s">
        <v>740</v>
      </c>
      <c r="Q15" s="144"/>
      <c r="R15" s="147"/>
      <c r="T15" s="133"/>
    </row>
    <row r="16" spans="2:20" ht="46.8">
      <c r="B16" s="110" t="s">
        <v>3</v>
      </c>
      <c r="C16" s="111" t="s">
        <v>239</v>
      </c>
      <c r="D16" s="116" t="s">
        <v>19</v>
      </c>
      <c r="E16" s="112" t="s">
        <v>250</v>
      </c>
      <c r="F16" s="153"/>
      <c r="G16" s="150"/>
      <c r="H16" s="123"/>
      <c r="I16" s="123"/>
      <c r="J16" s="123"/>
      <c r="K16" s="157"/>
      <c r="L16" s="142" t="s">
        <v>724</v>
      </c>
      <c r="M16" s="111" t="s">
        <v>239</v>
      </c>
      <c r="N16" s="111" t="s">
        <v>19</v>
      </c>
      <c r="O16" s="142" t="s">
        <v>727</v>
      </c>
      <c r="P16" s="120" t="s">
        <v>741</v>
      </c>
      <c r="Q16" s="144"/>
      <c r="R16" s="147"/>
      <c r="T16" s="134"/>
    </row>
    <row r="17" spans="2:20" ht="46.8">
      <c r="B17" s="110" t="s">
        <v>3</v>
      </c>
      <c r="C17" s="111" t="s">
        <v>20</v>
      </c>
      <c r="D17" s="116" t="s">
        <v>19</v>
      </c>
      <c r="E17" s="112" t="s">
        <v>274</v>
      </c>
      <c r="F17" s="153"/>
      <c r="G17" s="150"/>
      <c r="H17" s="123"/>
      <c r="I17" s="123"/>
      <c r="J17" s="123"/>
      <c r="K17" s="157"/>
      <c r="L17" s="142"/>
      <c r="M17" s="111" t="s">
        <v>20</v>
      </c>
      <c r="N17" s="111" t="s">
        <v>19</v>
      </c>
      <c r="O17" s="142"/>
      <c r="P17" s="120" t="s">
        <v>742</v>
      </c>
      <c r="Q17" s="144"/>
      <c r="R17" s="147"/>
      <c r="T17" s="134"/>
    </row>
    <row r="18" spans="2:20" ht="46.8">
      <c r="B18" s="110" t="s">
        <v>3</v>
      </c>
      <c r="C18" s="111" t="s">
        <v>251</v>
      </c>
      <c r="D18" s="116" t="s">
        <v>19</v>
      </c>
      <c r="E18" s="112" t="s">
        <v>64</v>
      </c>
      <c r="F18" s="153"/>
      <c r="G18" s="150"/>
      <c r="H18" s="123"/>
      <c r="I18" s="123"/>
      <c r="J18" s="123"/>
      <c r="K18" s="157"/>
      <c r="L18" s="142"/>
      <c r="M18" s="111" t="s">
        <v>251</v>
      </c>
      <c r="N18" s="111" t="s">
        <v>19</v>
      </c>
      <c r="O18" s="142"/>
      <c r="P18" s="120" t="s">
        <v>743</v>
      </c>
      <c r="Q18" s="144"/>
      <c r="R18" s="147"/>
      <c r="T18" s="134"/>
    </row>
    <row r="19" spans="2:20" ht="46.8">
      <c r="B19" s="110" t="s">
        <v>3</v>
      </c>
      <c r="C19" s="111" t="s">
        <v>21</v>
      </c>
      <c r="D19" s="116" t="s">
        <v>19</v>
      </c>
      <c r="E19" s="130" t="s">
        <v>302</v>
      </c>
      <c r="F19" s="153"/>
      <c r="G19" s="150"/>
      <c r="H19" s="123"/>
      <c r="I19" s="123"/>
      <c r="J19" s="123"/>
      <c r="K19" s="157"/>
      <c r="L19" s="142"/>
      <c r="M19" s="111" t="s">
        <v>21</v>
      </c>
      <c r="N19" s="111" t="s">
        <v>19</v>
      </c>
      <c r="O19" s="142"/>
      <c r="P19" s="120" t="s">
        <v>744</v>
      </c>
      <c r="Q19" s="144"/>
      <c r="R19" s="147"/>
      <c r="T19" s="134"/>
    </row>
    <row r="20" spans="2:20" ht="46.8">
      <c r="B20" s="110" t="s">
        <v>3</v>
      </c>
      <c r="C20" s="111" t="s">
        <v>252</v>
      </c>
      <c r="D20" s="116" t="s">
        <v>22</v>
      </c>
      <c r="E20" s="112" t="s">
        <v>67</v>
      </c>
      <c r="F20" s="153"/>
      <c r="G20" s="150"/>
      <c r="H20" s="123"/>
      <c r="I20" s="123"/>
      <c r="J20" s="123"/>
      <c r="K20" s="157"/>
      <c r="L20" s="142"/>
      <c r="M20" s="111" t="s">
        <v>252</v>
      </c>
      <c r="N20" s="111" t="s">
        <v>22</v>
      </c>
      <c r="O20" s="142"/>
      <c r="P20" s="120" t="s">
        <v>745</v>
      </c>
      <c r="Q20" s="144"/>
      <c r="R20" s="147"/>
      <c r="T20" s="134"/>
    </row>
    <row r="21" spans="2:20" ht="46.8">
      <c r="B21" s="110" t="s">
        <v>3</v>
      </c>
      <c r="C21" s="111" t="s">
        <v>20</v>
      </c>
      <c r="D21" s="116" t="s">
        <v>22</v>
      </c>
      <c r="E21" s="112" t="s">
        <v>282</v>
      </c>
      <c r="F21" s="153"/>
      <c r="G21" s="150"/>
      <c r="H21" s="123"/>
      <c r="I21" s="123"/>
      <c r="J21" s="123"/>
      <c r="K21" s="157"/>
      <c r="L21" s="142"/>
      <c r="M21" s="111" t="s">
        <v>20</v>
      </c>
      <c r="N21" s="111" t="s">
        <v>22</v>
      </c>
      <c r="O21" s="142"/>
      <c r="P21" s="120" t="s">
        <v>746</v>
      </c>
      <c r="Q21" s="144"/>
      <c r="R21" s="147"/>
      <c r="T21" s="134"/>
    </row>
    <row r="22" spans="2:20" ht="46.8">
      <c r="B22" s="110" t="s">
        <v>3</v>
      </c>
      <c r="C22" s="111" t="s">
        <v>253</v>
      </c>
      <c r="D22" s="116" t="s">
        <v>22</v>
      </c>
      <c r="E22" s="112" t="s">
        <v>69</v>
      </c>
      <c r="F22" s="153"/>
      <c r="G22" s="150"/>
      <c r="H22" s="123"/>
      <c r="I22" s="123"/>
      <c r="J22" s="123"/>
      <c r="K22" s="157"/>
      <c r="L22" s="142"/>
      <c r="M22" s="111" t="s">
        <v>253</v>
      </c>
      <c r="N22" s="111" t="s">
        <v>22</v>
      </c>
      <c r="O22" s="142"/>
      <c r="P22" s="120" t="s">
        <v>747</v>
      </c>
      <c r="Q22" s="144"/>
      <c r="R22" s="147"/>
      <c r="T22" s="134"/>
    </row>
    <row r="23" spans="2:20" ht="46.8">
      <c r="B23" s="110" t="s">
        <v>3</v>
      </c>
      <c r="C23" s="111" t="s">
        <v>21</v>
      </c>
      <c r="D23" s="116" t="s">
        <v>22</v>
      </c>
      <c r="E23" s="112" t="s">
        <v>284</v>
      </c>
      <c r="F23" s="153"/>
      <c r="G23" s="150"/>
      <c r="H23" s="123"/>
      <c r="I23" s="123"/>
      <c r="J23" s="123"/>
      <c r="K23" s="157"/>
      <c r="L23" s="142"/>
      <c r="M23" s="111" t="s">
        <v>21</v>
      </c>
      <c r="N23" s="111" t="s">
        <v>22</v>
      </c>
      <c r="O23" s="142"/>
      <c r="P23" s="120" t="s">
        <v>748</v>
      </c>
      <c r="Q23" s="144"/>
      <c r="R23" s="147"/>
      <c r="T23" s="134"/>
    </row>
    <row r="24" spans="2:20" ht="46.8">
      <c r="B24" s="110" t="s">
        <v>9</v>
      </c>
      <c r="C24" s="111" t="s">
        <v>23</v>
      </c>
      <c r="D24" s="116" t="s">
        <v>24</v>
      </c>
      <c r="E24" s="113" t="s">
        <v>71</v>
      </c>
      <c r="F24" s="153"/>
      <c r="G24" s="150"/>
      <c r="H24" s="123"/>
      <c r="I24" s="123"/>
      <c r="J24" s="123"/>
      <c r="K24" s="157"/>
      <c r="L24" s="142"/>
      <c r="M24" s="111" t="s">
        <v>23</v>
      </c>
      <c r="N24" s="111" t="s">
        <v>24</v>
      </c>
      <c r="O24" s="142"/>
      <c r="P24" s="120" t="s">
        <v>749</v>
      </c>
      <c r="Q24" s="144"/>
      <c r="R24" s="147"/>
      <c r="T24" s="134"/>
    </row>
    <row r="25" spans="2:20" ht="46.8">
      <c r="B25" s="110" t="s">
        <v>9</v>
      </c>
      <c r="C25" s="111" t="s">
        <v>23</v>
      </c>
      <c r="D25" s="116" t="s">
        <v>25</v>
      </c>
      <c r="E25" s="113" t="s">
        <v>73</v>
      </c>
      <c r="F25" s="153"/>
      <c r="G25" s="150"/>
      <c r="H25" s="123"/>
      <c r="I25" s="123"/>
      <c r="J25" s="123"/>
      <c r="K25" s="157"/>
      <c r="L25" s="142"/>
      <c r="M25" s="111" t="s">
        <v>23</v>
      </c>
      <c r="N25" s="111" t="s">
        <v>25</v>
      </c>
      <c r="O25" s="142"/>
      <c r="P25" s="120" t="s">
        <v>750</v>
      </c>
      <c r="Q25" s="144"/>
      <c r="R25" s="147"/>
      <c r="T25" s="134"/>
    </row>
    <row r="26" spans="2:20" ht="46.8">
      <c r="B26" s="110" t="s">
        <v>14</v>
      </c>
      <c r="C26" s="111" t="s">
        <v>26</v>
      </c>
      <c r="D26" s="116" t="s">
        <v>27</v>
      </c>
      <c r="E26" s="113" t="s">
        <v>75</v>
      </c>
      <c r="F26" s="153"/>
      <c r="G26" s="150"/>
      <c r="H26" s="123"/>
      <c r="I26" s="123"/>
      <c r="J26" s="123"/>
      <c r="K26" s="157"/>
      <c r="L26" s="142"/>
      <c r="M26" s="111" t="s">
        <v>26</v>
      </c>
      <c r="N26" s="111" t="s">
        <v>27</v>
      </c>
      <c r="O26" s="142"/>
      <c r="P26" s="120" t="s">
        <v>751</v>
      </c>
      <c r="Q26" s="144"/>
      <c r="R26" s="147"/>
      <c r="T26" s="134"/>
    </row>
    <row r="27" spans="2:20" ht="46.8">
      <c r="B27" s="110" t="s">
        <v>14</v>
      </c>
      <c r="C27" s="111" t="s">
        <v>28</v>
      </c>
      <c r="D27" s="116" t="s">
        <v>27</v>
      </c>
      <c r="E27" s="112" t="s">
        <v>213</v>
      </c>
      <c r="F27" s="153"/>
      <c r="G27" s="150"/>
      <c r="H27" s="123"/>
      <c r="I27" s="123"/>
      <c r="J27" s="123"/>
      <c r="K27" s="157"/>
      <c r="L27" s="142"/>
      <c r="M27" s="111" t="s">
        <v>28</v>
      </c>
      <c r="N27" s="111" t="s">
        <v>27</v>
      </c>
      <c r="O27" s="142"/>
      <c r="P27" s="120" t="s">
        <v>752</v>
      </c>
      <c r="Q27" s="144"/>
      <c r="R27" s="147"/>
      <c r="T27" s="134"/>
    </row>
    <row r="28" spans="2:20" ht="46.8">
      <c r="B28" s="110" t="s">
        <v>14</v>
      </c>
      <c r="C28" s="111" t="s">
        <v>26</v>
      </c>
      <c r="D28" s="116" t="s">
        <v>29</v>
      </c>
      <c r="E28" s="113" t="s">
        <v>79</v>
      </c>
      <c r="F28" s="153"/>
      <c r="G28" s="150"/>
      <c r="H28" s="123"/>
      <c r="I28" s="123"/>
      <c r="J28" s="123"/>
      <c r="K28" s="157"/>
      <c r="L28" s="142"/>
      <c r="M28" s="111" t="s">
        <v>26</v>
      </c>
      <c r="N28" s="111" t="s">
        <v>29</v>
      </c>
      <c r="O28" s="142"/>
      <c r="P28" s="120" t="s">
        <v>753</v>
      </c>
      <c r="Q28" s="144"/>
      <c r="R28" s="147"/>
      <c r="T28" s="134"/>
    </row>
    <row r="29" spans="2:20" ht="46.8">
      <c r="B29" s="110" t="s">
        <v>14</v>
      </c>
      <c r="C29" s="111" t="s">
        <v>28</v>
      </c>
      <c r="D29" s="116" t="s">
        <v>29</v>
      </c>
      <c r="E29" s="112" t="s">
        <v>216</v>
      </c>
      <c r="F29" s="154"/>
      <c r="G29" s="151"/>
      <c r="H29" s="123"/>
      <c r="I29" s="123"/>
      <c r="J29" s="123"/>
      <c r="K29" s="158"/>
      <c r="L29" s="142"/>
      <c r="M29" s="111" t="s">
        <v>28</v>
      </c>
      <c r="N29" s="111" t="s">
        <v>29</v>
      </c>
      <c r="O29" s="142"/>
      <c r="P29" s="120" t="s">
        <v>754</v>
      </c>
      <c r="Q29" s="145"/>
      <c r="R29" s="148"/>
      <c r="T29" s="134"/>
    </row>
    <row r="34" spans="2:10">
      <c r="B34" s="129" t="s">
        <v>169</v>
      </c>
      <c r="C34" s="131"/>
      <c r="D34" s="131"/>
      <c r="E34" s="131"/>
      <c r="F34" s="132"/>
      <c r="G34" s="131"/>
      <c r="H34" s="131"/>
      <c r="I34" s="131"/>
      <c r="J34" s="131"/>
    </row>
    <row r="35" spans="2:10">
      <c r="B35" s="107" t="s">
        <v>0</v>
      </c>
      <c r="C35" s="107" t="s">
        <v>1</v>
      </c>
      <c r="D35" s="107" t="s">
        <v>2</v>
      </c>
      <c r="E35" s="107" t="s">
        <v>721</v>
      </c>
      <c r="F35" s="118" t="s">
        <v>725</v>
      </c>
      <c r="G35" s="107" t="s">
        <v>723</v>
      </c>
      <c r="H35" s="121"/>
      <c r="I35" s="121"/>
      <c r="J35" s="121"/>
    </row>
    <row r="36" spans="2:10">
      <c r="B36" s="105" t="s">
        <v>3</v>
      </c>
      <c r="C36" s="106" t="s">
        <v>4</v>
      </c>
      <c r="D36" s="115" t="s">
        <v>5</v>
      </c>
      <c r="E36" s="108" t="s">
        <v>85</v>
      </c>
      <c r="F36" s="149" t="s">
        <v>728</v>
      </c>
      <c r="G36" s="149" t="s">
        <v>166</v>
      </c>
      <c r="H36" s="122"/>
      <c r="I36" s="122"/>
      <c r="J36" s="122"/>
    </row>
    <row r="37" spans="2:10">
      <c r="B37" s="105" t="s">
        <v>3</v>
      </c>
      <c r="C37" s="106" t="s">
        <v>6</v>
      </c>
      <c r="D37" s="115" t="s">
        <v>5</v>
      </c>
      <c r="E37" s="109" t="s">
        <v>219</v>
      </c>
      <c r="F37" s="150"/>
      <c r="G37" s="150"/>
      <c r="H37" s="122"/>
      <c r="I37" s="122"/>
      <c r="J37" s="122"/>
    </row>
    <row r="38" spans="2:10">
      <c r="B38" s="105" t="s">
        <v>3</v>
      </c>
      <c r="C38" s="106" t="s">
        <v>4</v>
      </c>
      <c r="D38" s="115" t="s">
        <v>7</v>
      </c>
      <c r="E38" s="108" t="s">
        <v>90</v>
      </c>
      <c r="F38" s="150"/>
      <c r="G38" s="150"/>
      <c r="H38" s="122"/>
      <c r="I38" s="122"/>
      <c r="J38" s="122"/>
    </row>
    <row r="39" spans="2:10">
      <c r="B39" s="105" t="s">
        <v>3</v>
      </c>
      <c r="C39" s="106" t="s">
        <v>6</v>
      </c>
      <c r="D39" s="115" t="s">
        <v>7</v>
      </c>
      <c r="E39" s="109" t="s">
        <v>93</v>
      </c>
      <c r="F39" s="150"/>
      <c r="G39" s="150"/>
      <c r="H39" s="122"/>
      <c r="I39" s="122"/>
      <c r="J39" s="122"/>
    </row>
    <row r="40" spans="2:10">
      <c r="B40" s="105" t="s">
        <v>3</v>
      </c>
      <c r="C40" s="106" t="s">
        <v>4</v>
      </c>
      <c r="D40" s="115" t="s">
        <v>8</v>
      </c>
      <c r="E40" s="108" t="s">
        <v>96</v>
      </c>
      <c r="F40" s="150"/>
      <c r="G40" s="150"/>
      <c r="H40" s="122"/>
      <c r="I40" s="122"/>
      <c r="J40" s="122"/>
    </row>
    <row r="41" spans="2:10">
      <c r="B41" s="105" t="s">
        <v>3</v>
      </c>
      <c r="C41" s="106" t="s">
        <v>6</v>
      </c>
      <c r="D41" s="115" t="s">
        <v>8</v>
      </c>
      <c r="E41" s="109" t="s">
        <v>99</v>
      </c>
      <c r="F41" s="150"/>
      <c r="G41" s="150"/>
      <c r="H41" s="122"/>
      <c r="I41" s="122"/>
      <c r="J41" s="122"/>
    </row>
    <row r="42" spans="2:10">
      <c r="B42" s="105" t="s">
        <v>9</v>
      </c>
      <c r="C42" s="106" t="s">
        <v>10</v>
      </c>
      <c r="D42" s="115" t="s">
        <v>11</v>
      </c>
      <c r="E42" s="108" t="s">
        <v>102</v>
      </c>
      <c r="F42" s="150"/>
      <c r="G42" s="150"/>
      <c r="H42" s="122"/>
      <c r="I42" s="122"/>
      <c r="J42" s="122"/>
    </row>
    <row r="43" spans="2:10">
      <c r="B43" s="105" t="s">
        <v>9</v>
      </c>
      <c r="C43" s="106" t="s">
        <v>12</v>
      </c>
      <c r="D43" s="115" t="s">
        <v>13</v>
      </c>
      <c r="E43" s="108" t="s">
        <v>105</v>
      </c>
      <c r="F43" s="150"/>
      <c r="G43" s="150"/>
      <c r="H43" s="122"/>
      <c r="I43" s="122"/>
      <c r="J43" s="122"/>
    </row>
    <row r="44" spans="2:10">
      <c r="B44" s="105" t="s">
        <v>14</v>
      </c>
      <c r="C44" s="106" t="s">
        <v>15</v>
      </c>
      <c r="D44" s="115" t="s">
        <v>16</v>
      </c>
      <c r="E44" s="108" t="s">
        <v>108</v>
      </c>
      <c r="F44" s="150"/>
      <c r="G44" s="150"/>
      <c r="H44" s="122"/>
      <c r="I44" s="122"/>
      <c r="J44" s="122"/>
    </row>
    <row r="45" spans="2:10">
      <c r="B45" s="105" t="s">
        <v>14</v>
      </c>
      <c r="C45" s="106" t="s">
        <v>17</v>
      </c>
      <c r="D45" s="115" t="s">
        <v>16</v>
      </c>
      <c r="E45" s="109" t="s">
        <v>226</v>
      </c>
      <c r="F45" s="150"/>
      <c r="G45" s="150"/>
      <c r="H45" s="122"/>
      <c r="I45" s="122"/>
      <c r="J45" s="122"/>
    </row>
    <row r="46" spans="2:10">
      <c r="B46" s="105" t="s">
        <v>14</v>
      </c>
      <c r="C46" s="106" t="s">
        <v>15</v>
      </c>
      <c r="D46" s="115" t="s">
        <v>18</v>
      </c>
      <c r="E46" s="108" t="s">
        <v>113</v>
      </c>
      <c r="F46" s="150"/>
      <c r="G46" s="150"/>
      <c r="H46" s="122"/>
      <c r="I46" s="122"/>
      <c r="J46" s="122"/>
    </row>
    <row r="47" spans="2:10">
      <c r="B47" s="105" t="s">
        <v>14</v>
      </c>
      <c r="C47" s="106" t="s">
        <v>17</v>
      </c>
      <c r="D47" s="115" t="s">
        <v>18</v>
      </c>
      <c r="E47" s="109" t="s">
        <v>228</v>
      </c>
      <c r="F47" s="150"/>
      <c r="G47" s="150"/>
      <c r="H47" s="122"/>
      <c r="I47" s="122"/>
      <c r="J47" s="122"/>
    </row>
    <row r="48" spans="2:10">
      <c r="B48" s="110" t="s">
        <v>3</v>
      </c>
      <c r="C48" s="111" t="s">
        <v>239</v>
      </c>
      <c r="D48" s="116" t="s">
        <v>19</v>
      </c>
      <c r="E48" s="112" t="s">
        <v>258</v>
      </c>
      <c r="F48" s="150"/>
      <c r="G48" s="150"/>
      <c r="H48" s="122"/>
      <c r="I48" s="122"/>
      <c r="J48" s="122"/>
    </row>
    <row r="49" spans="2:10">
      <c r="B49" s="110" t="s">
        <v>3</v>
      </c>
      <c r="C49" s="111" t="s">
        <v>257</v>
      </c>
      <c r="D49" s="116" t="s">
        <v>19</v>
      </c>
      <c r="E49" s="112" t="s">
        <v>285</v>
      </c>
      <c r="F49" s="150"/>
      <c r="G49" s="150"/>
      <c r="H49" s="123"/>
      <c r="I49" s="123"/>
      <c r="J49" s="123"/>
    </row>
    <row r="50" spans="2:10">
      <c r="B50" s="110" t="s">
        <v>3</v>
      </c>
      <c r="C50" s="111" t="s">
        <v>253</v>
      </c>
      <c r="D50" s="116" t="s">
        <v>19</v>
      </c>
      <c r="E50" s="112" t="s">
        <v>230</v>
      </c>
      <c r="F50" s="150"/>
      <c r="G50" s="150"/>
      <c r="H50" s="123"/>
      <c r="I50" s="123"/>
      <c r="J50" s="123"/>
    </row>
    <row r="51" spans="2:10">
      <c r="B51" s="110" t="s">
        <v>3</v>
      </c>
      <c r="C51" s="111" t="s">
        <v>269</v>
      </c>
      <c r="D51" s="116" t="s">
        <v>19</v>
      </c>
      <c r="E51" s="112" t="s">
        <v>286</v>
      </c>
      <c r="F51" s="150"/>
      <c r="G51" s="150"/>
      <c r="H51" s="123"/>
      <c r="I51" s="123"/>
      <c r="J51" s="123"/>
    </row>
    <row r="52" spans="2:10">
      <c r="B52" s="110" t="s">
        <v>3</v>
      </c>
      <c r="C52" s="111" t="s">
        <v>239</v>
      </c>
      <c r="D52" s="116" t="s">
        <v>22</v>
      </c>
      <c r="E52" s="112" t="s">
        <v>120</v>
      </c>
      <c r="F52" s="150"/>
      <c r="G52" s="150"/>
      <c r="H52" s="123"/>
      <c r="I52" s="123"/>
      <c r="J52" s="123"/>
    </row>
    <row r="53" spans="2:10">
      <c r="B53" s="110" t="s">
        <v>3</v>
      </c>
      <c r="C53" s="111" t="s">
        <v>270</v>
      </c>
      <c r="D53" s="116" t="s">
        <v>22</v>
      </c>
      <c r="E53" s="112" t="s">
        <v>290</v>
      </c>
      <c r="F53" s="150"/>
      <c r="G53" s="150"/>
      <c r="H53" s="123"/>
      <c r="I53" s="123"/>
      <c r="J53" s="123"/>
    </row>
    <row r="54" spans="2:10">
      <c r="B54" s="110" t="s">
        <v>3</v>
      </c>
      <c r="C54" s="111" t="s">
        <v>261</v>
      </c>
      <c r="D54" s="116" t="s">
        <v>22</v>
      </c>
      <c r="E54" s="112" t="s">
        <v>232</v>
      </c>
      <c r="F54" s="150"/>
      <c r="G54" s="150"/>
      <c r="H54" s="123"/>
      <c r="I54" s="123"/>
      <c r="J54" s="123"/>
    </row>
    <row r="55" spans="2:10">
      <c r="B55" s="110" t="s">
        <v>3</v>
      </c>
      <c r="C55" s="111" t="s">
        <v>269</v>
      </c>
      <c r="D55" s="116" t="s">
        <v>22</v>
      </c>
      <c r="E55" s="112" t="s">
        <v>295</v>
      </c>
      <c r="F55" s="150"/>
      <c r="G55" s="150"/>
      <c r="H55" s="123"/>
      <c r="I55" s="123"/>
      <c r="J55" s="123"/>
    </row>
    <row r="56" spans="2:10">
      <c r="B56" s="110" t="s">
        <v>9</v>
      </c>
      <c r="C56" s="111" t="s">
        <v>23</v>
      </c>
      <c r="D56" s="116" t="s">
        <v>24</v>
      </c>
      <c r="E56" s="113" t="s">
        <v>124</v>
      </c>
      <c r="F56" s="150"/>
      <c r="G56" s="150"/>
      <c r="H56" s="123"/>
      <c r="I56" s="123"/>
      <c r="J56" s="123"/>
    </row>
    <row r="57" spans="2:10">
      <c r="B57" s="110" t="s">
        <v>9</v>
      </c>
      <c r="C57" s="111" t="s">
        <v>23</v>
      </c>
      <c r="D57" s="116" t="s">
        <v>25</v>
      </c>
      <c r="E57" s="113" t="s">
        <v>249</v>
      </c>
      <c r="F57" s="150"/>
      <c r="G57" s="150"/>
      <c r="H57" s="123"/>
      <c r="I57" s="123"/>
      <c r="J57" s="123"/>
    </row>
    <row r="58" spans="2:10">
      <c r="B58" s="110" t="s">
        <v>14</v>
      </c>
      <c r="C58" s="111" t="s">
        <v>26</v>
      </c>
      <c r="D58" s="116" t="s">
        <v>27</v>
      </c>
      <c r="E58" s="113" t="s">
        <v>129</v>
      </c>
      <c r="F58" s="150"/>
      <c r="G58" s="150"/>
      <c r="H58" s="123"/>
      <c r="I58" s="123"/>
      <c r="J58" s="123"/>
    </row>
    <row r="59" spans="2:10">
      <c r="B59" s="110" t="s">
        <v>14</v>
      </c>
      <c r="C59" s="111" t="s">
        <v>28</v>
      </c>
      <c r="D59" s="116" t="s">
        <v>27</v>
      </c>
      <c r="E59" s="112" t="s">
        <v>234</v>
      </c>
      <c r="F59" s="150"/>
      <c r="G59" s="150"/>
      <c r="H59" s="123"/>
      <c r="I59" s="123"/>
      <c r="J59" s="123"/>
    </row>
    <row r="60" spans="2:10">
      <c r="B60" s="110" t="s">
        <v>14</v>
      </c>
      <c r="C60" s="111" t="s">
        <v>26</v>
      </c>
      <c r="D60" s="116" t="s">
        <v>29</v>
      </c>
      <c r="E60" s="113" t="s">
        <v>134</v>
      </c>
      <c r="F60" s="150"/>
      <c r="G60" s="150"/>
      <c r="H60" s="123"/>
      <c r="I60" s="123"/>
      <c r="J60" s="123"/>
    </row>
    <row r="61" spans="2:10">
      <c r="B61" s="110" t="s">
        <v>14</v>
      </c>
      <c r="C61" s="111" t="s">
        <v>28</v>
      </c>
      <c r="D61" s="116" t="s">
        <v>29</v>
      </c>
      <c r="E61" s="112" t="s">
        <v>237</v>
      </c>
      <c r="F61" s="151"/>
      <c r="G61" s="151"/>
      <c r="H61" s="123"/>
      <c r="I61" s="123"/>
      <c r="J61" s="123"/>
    </row>
  </sheetData>
  <mergeCells count="11">
    <mergeCell ref="L16:L29"/>
    <mergeCell ref="O16:O29"/>
    <mergeCell ref="Q4:Q29"/>
    <mergeCell ref="R4:R29"/>
    <mergeCell ref="F36:F61"/>
    <mergeCell ref="G36:G61"/>
    <mergeCell ref="F4:F29"/>
    <mergeCell ref="L4:L15"/>
    <mergeCell ref="G4:G29"/>
    <mergeCell ref="O4:O15"/>
    <mergeCell ref="K4:K29"/>
  </mergeCells>
  <phoneticPr fontId="3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R59"/>
  <sheetViews>
    <sheetView tabSelected="1" workbookViewId="0">
      <selection activeCell="F22" sqref="F22"/>
    </sheetView>
  </sheetViews>
  <sheetFormatPr defaultRowHeight="17.399999999999999"/>
  <cols>
    <col min="3" max="3" width="23.09765625" bestFit="1" customWidth="1"/>
    <col min="4" max="4" width="10" bestFit="1" customWidth="1"/>
    <col min="5" max="5" width="6.69921875" bestFit="1" customWidth="1"/>
    <col min="6" max="6" width="24.69921875" bestFit="1" customWidth="1"/>
    <col min="7" max="7" width="28.3984375" bestFit="1" customWidth="1"/>
    <col min="8" max="8" width="20.19921875" bestFit="1" customWidth="1"/>
    <col min="9" max="9" width="38.09765625" bestFit="1" customWidth="1"/>
    <col min="11" max="11" width="6.69921875" bestFit="1" customWidth="1"/>
    <col min="12" max="12" width="9.19921875" bestFit="1" customWidth="1"/>
    <col min="13" max="13" width="6.69921875" bestFit="1" customWidth="1"/>
    <col min="14" max="14" width="14.8984375" bestFit="1" customWidth="1"/>
    <col min="15" max="15" width="28.3984375" bestFit="1" customWidth="1"/>
    <col min="16" max="16" width="29" bestFit="1" customWidth="1"/>
    <col min="17" max="17" width="25.59765625" bestFit="1" customWidth="1"/>
    <col min="18" max="18" width="36.3984375" bestFit="1" customWidth="1"/>
  </cols>
  <sheetData>
    <row r="1" spans="3:18" ht="19.8" thickBot="1">
      <c r="C1" s="25" t="s">
        <v>82</v>
      </c>
      <c r="D1" s="23"/>
      <c r="E1" s="23"/>
      <c r="F1" s="23"/>
      <c r="G1" s="23"/>
      <c r="H1" s="23"/>
      <c r="I1" s="23"/>
    </row>
    <row r="2" spans="3:18" ht="18" thickBot="1">
      <c r="C2" s="137" t="s">
        <v>0</v>
      </c>
      <c r="D2" s="137" t="s">
        <v>1</v>
      </c>
      <c r="E2" s="137" t="s">
        <v>2</v>
      </c>
      <c r="F2" s="137" t="s">
        <v>139</v>
      </c>
      <c r="G2" s="141" t="s">
        <v>137</v>
      </c>
      <c r="H2" s="141"/>
      <c r="I2" s="137" t="s">
        <v>143</v>
      </c>
    </row>
    <row r="3" spans="3:18" ht="19.8" thickBot="1">
      <c r="C3" s="137"/>
      <c r="D3" s="137"/>
      <c r="E3" s="137"/>
      <c r="F3" s="137"/>
      <c r="G3" s="34" t="s">
        <v>30</v>
      </c>
      <c r="H3" s="34" t="s">
        <v>142</v>
      </c>
      <c r="I3" s="137"/>
      <c r="K3" s="35" t="s">
        <v>0</v>
      </c>
      <c r="L3" s="35" t="s">
        <v>1</v>
      </c>
      <c r="M3" s="35" t="s">
        <v>2</v>
      </c>
      <c r="N3" s="36" t="s">
        <v>547</v>
      </c>
      <c r="O3" s="36" t="s">
        <v>548</v>
      </c>
      <c r="P3" s="36" t="s">
        <v>330</v>
      </c>
      <c r="Q3" s="36" t="s">
        <v>331</v>
      </c>
      <c r="R3" s="36" t="s">
        <v>332</v>
      </c>
    </row>
    <row r="4" spans="3:18" ht="18" thickBot="1">
      <c r="C4" s="3" t="s">
        <v>3</v>
      </c>
      <c r="D4" s="4" t="s">
        <v>4</v>
      </c>
      <c r="E4" s="4" t="s">
        <v>5</v>
      </c>
      <c r="F4" s="27" t="s">
        <v>161</v>
      </c>
      <c r="G4" s="1" t="s">
        <v>31</v>
      </c>
      <c r="H4" s="1" t="s">
        <v>32</v>
      </c>
      <c r="I4" s="1" t="s">
        <v>33</v>
      </c>
      <c r="J4" t="b">
        <f>I4=R4</f>
        <v>1</v>
      </c>
      <c r="K4" s="37" t="s">
        <v>3</v>
      </c>
      <c r="L4" s="49" t="s">
        <v>549</v>
      </c>
      <c r="M4" s="49" t="s">
        <v>5</v>
      </c>
      <c r="N4" s="38" t="s">
        <v>333</v>
      </c>
      <c r="O4" s="38" t="s">
        <v>334</v>
      </c>
      <c r="P4" s="38" t="s">
        <v>335</v>
      </c>
      <c r="Q4" s="38" t="s">
        <v>336</v>
      </c>
      <c r="R4" s="38" t="s">
        <v>337</v>
      </c>
    </row>
    <row r="5" spans="3:18" ht="18" thickBot="1">
      <c r="C5" s="5" t="s">
        <v>3</v>
      </c>
      <c r="D5" s="6" t="s">
        <v>6</v>
      </c>
      <c r="E5" s="6" t="s">
        <v>5</v>
      </c>
      <c r="F5" s="27" t="s">
        <v>168</v>
      </c>
      <c r="G5" s="13" t="s">
        <v>34</v>
      </c>
      <c r="H5" s="13" t="s">
        <v>35</v>
      </c>
      <c r="I5" s="13" t="s">
        <v>36</v>
      </c>
      <c r="J5" t="b">
        <f t="shared" ref="J5:J29" si="0">I5=R5</f>
        <v>1</v>
      </c>
      <c r="K5" s="37" t="s">
        <v>3</v>
      </c>
      <c r="L5" s="50" t="s">
        <v>6</v>
      </c>
      <c r="M5" s="50" t="s">
        <v>5</v>
      </c>
      <c r="N5" s="38" t="s">
        <v>338</v>
      </c>
      <c r="O5" s="38" t="s">
        <v>339</v>
      </c>
      <c r="P5" s="38" t="s">
        <v>340</v>
      </c>
      <c r="Q5" s="38" t="s">
        <v>336</v>
      </c>
      <c r="R5" s="38" t="s">
        <v>341</v>
      </c>
    </row>
    <row r="6" spans="3:18" ht="18" thickBot="1">
      <c r="C6" s="3" t="s">
        <v>3</v>
      </c>
      <c r="D6" s="4" t="s">
        <v>4</v>
      </c>
      <c r="E6" s="4" t="s">
        <v>7</v>
      </c>
      <c r="F6" s="28" t="s">
        <v>165</v>
      </c>
      <c r="G6" s="15" t="s">
        <v>37</v>
      </c>
      <c r="H6" s="15" t="s">
        <v>38</v>
      </c>
      <c r="I6" s="15" t="s">
        <v>39</v>
      </c>
      <c r="J6" t="b">
        <f t="shared" si="0"/>
        <v>1</v>
      </c>
      <c r="K6" s="37" t="s">
        <v>3</v>
      </c>
      <c r="L6" s="49" t="s">
        <v>4</v>
      </c>
      <c r="M6" s="49" t="s">
        <v>7</v>
      </c>
      <c r="N6" s="38" t="s">
        <v>342</v>
      </c>
      <c r="O6" s="38" t="s">
        <v>343</v>
      </c>
      <c r="P6" s="38" t="s">
        <v>344</v>
      </c>
      <c r="Q6" s="38" t="s">
        <v>345</v>
      </c>
      <c r="R6" s="38" t="s">
        <v>346</v>
      </c>
    </row>
    <row r="7" spans="3:18" ht="18" thickBot="1">
      <c r="C7" s="3" t="s">
        <v>3</v>
      </c>
      <c r="D7" s="4" t="s">
        <v>6</v>
      </c>
      <c r="E7" s="4" t="s">
        <v>7</v>
      </c>
      <c r="F7" s="29" t="s">
        <v>146</v>
      </c>
      <c r="G7" s="13" t="s">
        <v>40</v>
      </c>
      <c r="H7" s="13" t="s">
        <v>41</v>
      </c>
      <c r="I7" s="13" t="s">
        <v>42</v>
      </c>
      <c r="J7" t="b">
        <f t="shared" si="0"/>
        <v>1</v>
      </c>
      <c r="K7" s="37" t="s">
        <v>3</v>
      </c>
      <c r="L7" s="49" t="s">
        <v>6</v>
      </c>
      <c r="M7" s="49" t="s">
        <v>7</v>
      </c>
      <c r="N7" s="38" t="s">
        <v>347</v>
      </c>
      <c r="O7" s="38" t="s">
        <v>348</v>
      </c>
      <c r="P7" s="38" t="s">
        <v>349</v>
      </c>
      <c r="Q7" s="38" t="s">
        <v>345</v>
      </c>
      <c r="R7" s="38" t="s">
        <v>350</v>
      </c>
    </row>
    <row r="8" spans="3:18" ht="18" thickBot="1">
      <c r="C8" s="3" t="s">
        <v>3</v>
      </c>
      <c r="D8" s="4" t="s">
        <v>4</v>
      </c>
      <c r="E8" s="4" t="s">
        <v>8</v>
      </c>
      <c r="F8" s="28" t="s">
        <v>170</v>
      </c>
      <c r="G8" s="15" t="s">
        <v>240</v>
      </c>
      <c r="H8" s="15" t="s">
        <v>43</v>
      </c>
      <c r="I8" s="15" t="s">
        <v>44</v>
      </c>
      <c r="J8" t="b">
        <f t="shared" si="0"/>
        <v>1</v>
      </c>
      <c r="K8" s="37" t="s">
        <v>3</v>
      </c>
      <c r="L8" s="49" t="s">
        <v>4</v>
      </c>
      <c r="M8" s="49" t="s">
        <v>8</v>
      </c>
      <c r="N8" s="38" t="s">
        <v>351</v>
      </c>
      <c r="O8" s="38" t="s">
        <v>352</v>
      </c>
      <c r="P8" s="38" t="s">
        <v>353</v>
      </c>
      <c r="Q8" s="38" t="s">
        <v>354</v>
      </c>
      <c r="R8" s="38" t="s">
        <v>355</v>
      </c>
    </row>
    <row r="9" spans="3:18" ht="18" thickBot="1">
      <c r="C9" s="3" t="s">
        <v>3</v>
      </c>
      <c r="D9" s="4" t="s">
        <v>6</v>
      </c>
      <c r="E9" s="4" t="s">
        <v>8</v>
      </c>
      <c r="F9" s="28" t="s">
        <v>148</v>
      </c>
      <c r="G9" s="13" t="s">
        <v>45</v>
      </c>
      <c r="H9" s="13" t="s">
        <v>46</v>
      </c>
      <c r="I9" s="13" t="s">
        <v>202</v>
      </c>
      <c r="J9" t="b">
        <f t="shared" si="0"/>
        <v>1</v>
      </c>
      <c r="K9" s="37" t="s">
        <v>3</v>
      </c>
      <c r="L9" s="49" t="s">
        <v>6</v>
      </c>
      <c r="M9" s="49" t="s">
        <v>8</v>
      </c>
      <c r="N9" s="38" t="s">
        <v>356</v>
      </c>
      <c r="O9" s="38" t="s">
        <v>357</v>
      </c>
      <c r="P9" s="38" t="s">
        <v>358</v>
      </c>
      <c r="Q9" s="38" t="s">
        <v>354</v>
      </c>
      <c r="R9" s="38" t="s">
        <v>359</v>
      </c>
    </row>
    <row r="10" spans="3:18" ht="18" thickBot="1">
      <c r="C10" s="3" t="s">
        <v>9</v>
      </c>
      <c r="D10" s="4" t="s">
        <v>10</v>
      </c>
      <c r="E10" s="4" t="s">
        <v>11</v>
      </c>
      <c r="F10" s="28" t="s">
        <v>172</v>
      </c>
      <c r="G10" s="15" t="s">
        <v>47</v>
      </c>
      <c r="H10" s="15" t="s">
        <v>48</v>
      </c>
      <c r="I10" s="15" t="s">
        <v>49</v>
      </c>
      <c r="J10" t="b">
        <f t="shared" si="0"/>
        <v>1</v>
      </c>
      <c r="K10" s="39" t="s">
        <v>9</v>
      </c>
      <c r="L10" s="49" t="s">
        <v>10</v>
      </c>
      <c r="M10" s="49" t="s">
        <v>11</v>
      </c>
      <c r="N10" s="38" t="s">
        <v>360</v>
      </c>
      <c r="O10" s="38" t="s">
        <v>361</v>
      </c>
      <c r="P10" s="38" t="s">
        <v>362</v>
      </c>
      <c r="Q10" s="38" t="s">
        <v>363</v>
      </c>
      <c r="R10" s="38" t="s">
        <v>364</v>
      </c>
    </row>
    <row r="11" spans="3:18" ht="18" thickBot="1">
      <c r="C11" s="3" t="s">
        <v>9</v>
      </c>
      <c r="D11" s="4" t="s">
        <v>12</v>
      </c>
      <c r="E11" s="4" t="s">
        <v>13</v>
      </c>
      <c r="F11" s="28" t="s">
        <v>175</v>
      </c>
      <c r="G11" s="15" t="s">
        <v>50</v>
      </c>
      <c r="H11" s="15" t="s">
        <v>51</v>
      </c>
      <c r="I11" s="15" t="s">
        <v>52</v>
      </c>
      <c r="J11" t="b">
        <f t="shared" si="0"/>
        <v>1</v>
      </c>
      <c r="K11" s="39" t="s">
        <v>365</v>
      </c>
      <c r="L11" s="49" t="s">
        <v>550</v>
      </c>
      <c r="M11" s="49" t="s">
        <v>13</v>
      </c>
      <c r="N11" s="38" t="s">
        <v>366</v>
      </c>
      <c r="O11" s="38" t="s">
        <v>367</v>
      </c>
      <c r="P11" s="38" t="s">
        <v>368</v>
      </c>
      <c r="Q11" s="38" t="s">
        <v>369</v>
      </c>
      <c r="R11" s="38" t="s">
        <v>370</v>
      </c>
    </row>
    <row r="12" spans="3:18" ht="35.4" thickBot="1">
      <c r="C12" s="3" t="s">
        <v>14</v>
      </c>
      <c r="D12" s="4" t="s">
        <v>15</v>
      </c>
      <c r="E12" s="4" t="s">
        <v>16</v>
      </c>
      <c r="F12" s="28" t="s">
        <v>178</v>
      </c>
      <c r="G12" s="15" t="s">
        <v>241</v>
      </c>
      <c r="H12" s="15" t="s">
        <v>53</v>
      </c>
      <c r="I12" s="15" t="s">
        <v>54</v>
      </c>
      <c r="J12" t="b">
        <f t="shared" si="0"/>
        <v>1</v>
      </c>
      <c r="K12" s="40" t="s">
        <v>14</v>
      </c>
      <c r="L12" s="49" t="s">
        <v>15</v>
      </c>
      <c r="M12" s="49" t="s">
        <v>16</v>
      </c>
      <c r="N12" s="38" t="s">
        <v>371</v>
      </c>
      <c r="O12" s="38" t="s">
        <v>372</v>
      </c>
      <c r="P12" s="38" t="s">
        <v>373</v>
      </c>
      <c r="Q12" s="38" t="s">
        <v>374</v>
      </c>
      <c r="R12" s="38" t="s">
        <v>375</v>
      </c>
    </row>
    <row r="13" spans="3:18" ht="35.4" thickBot="1">
      <c r="C13" s="3" t="s">
        <v>14</v>
      </c>
      <c r="D13" s="4" t="s">
        <v>17</v>
      </c>
      <c r="E13" s="4" t="s">
        <v>16</v>
      </c>
      <c r="F13" s="28" t="s">
        <v>152</v>
      </c>
      <c r="G13" s="13" t="s">
        <v>55</v>
      </c>
      <c r="H13" s="13" t="s">
        <v>56</v>
      </c>
      <c r="I13" s="13" t="s">
        <v>205</v>
      </c>
      <c r="J13" t="b">
        <f t="shared" si="0"/>
        <v>1</v>
      </c>
      <c r="K13" s="40" t="s">
        <v>14</v>
      </c>
      <c r="L13" s="49" t="s">
        <v>17</v>
      </c>
      <c r="M13" s="49" t="s">
        <v>16</v>
      </c>
      <c r="N13" s="38" t="s">
        <v>376</v>
      </c>
      <c r="O13" s="38" t="s">
        <v>377</v>
      </c>
      <c r="P13" s="38" t="s">
        <v>378</v>
      </c>
      <c r="Q13" s="38" t="s">
        <v>374</v>
      </c>
      <c r="R13" s="38" t="s">
        <v>379</v>
      </c>
    </row>
    <row r="14" spans="3:18" ht="35.4" thickBot="1">
      <c r="C14" s="3" t="s">
        <v>14</v>
      </c>
      <c r="D14" s="4" t="s">
        <v>15</v>
      </c>
      <c r="E14" s="4" t="s">
        <v>18</v>
      </c>
      <c r="F14" s="28" t="s">
        <v>179</v>
      </c>
      <c r="G14" s="15" t="s">
        <v>242</v>
      </c>
      <c r="H14" s="15" t="s">
        <v>57</v>
      </c>
      <c r="I14" s="15" t="s">
        <v>58</v>
      </c>
      <c r="J14" t="b">
        <f t="shared" si="0"/>
        <v>1</v>
      </c>
      <c r="K14" s="40" t="s">
        <v>14</v>
      </c>
      <c r="L14" s="49" t="s">
        <v>15</v>
      </c>
      <c r="M14" s="49" t="s">
        <v>18</v>
      </c>
      <c r="N14" s="38" t="s">
        <v>380</v>
      </c>
      <c r="O14" s="38" t="s">
        <v>381</v>
      </c>
      <c r="P14" s="38" t="s">
        <v>382</v>
      </c>
      <c r="Q14" s="38" t="s">
        <v>383</v>
      </c>
      <c r="R14" s="38" t="s">
        <v>384</v>
      </c>
    </row>
    <row r="15" spans="3:18" ht="35.4" thickBot="1">
      <c r="C15" s="3" t="s">
        <v>14</v>
      </c>
      <c r="D15" s="4" t="s">
        <v>17</v>
      </c>
      <c r="E15" s="4" t="s">
        <v>18</v>
      </c>
      <c r="F15" s="28" t="s">
        <v>154</v>
      </c>
      <c r="G15" s="13" t="s">
        <v>59</v>
      </c>
      <c r="H15" s="13" t="s">
        <v>60</v>
      </c>
      <c r="I15" s="13" t="s">
        <v>61</v>
      </c>
      <c r="J15" t="b">
        <f t="shared" si="0"/>
        <v>1</v>
      </c>
      <c r="K15" s="40" t="s">
        <v>14</v>
      </c>
      <c r="L15" s="49" t="s">
        <v>17</v>
      </c>
      <c r="M15" s="49" t="s">
        <v>18</v>
      </c>
      <c r="N15" s="38" t="s">
        <v>385</v>
      </c>
      <c r="O15" s="38" t="s">
        <v>386</v>
      </c>
      <c r="P15" s="38" t="s">
        <v>387</v>
      </c>
      <c r="Q15" s="38" t="s">
        <v>383</v>
      </c>
      <c r="R15" s="38" t="s">
        <v>388</v>
      </c>
    </row>
    <row r="16" spans="3:18" ht="18" thickBot="1">
      <c r="C16" s="16" t="s">
        <v>3</v>
      </c>
      <c r="D16" s="17" t="s">
        <v>239</v>
      </c>
      <c r="E16" s="17" t="s">
        <v>19</v>
      </c>
      <c r="F16" s="28" t="s">
        <v>182</v>
      </c>
      <c r="G16" s="13" t="s">
        <v>243</v>
      </c>
      <c r="H16" s="13" t="s">
        <v>62</v>
      </c>
      <c r="I16" s="13" t="s">
        <v>250</v>
      </c>
      <c r="J16" t="b">
        <f t="shared" si="0"/>
        <v>1</v>
      </c>
      <c r="K16" s="37" t="s">
        <v>3</v>
      </c>
      <c r="L16" s="49" t="s">
        <v>551</v>
      </c>
      <c r="M16" s="49" t="s">
        <v>19</v>
      </c>
      <c r="N16" s="38" t="s">
        <v>552</v>
      </c>
      <c r="O16" s="38" t="s">
        <v>390</v>
      </c>
      <c r="P16" s="38" t="s">
        <v>391</v>
      </c>
      <c r="Q16" s="38" t="s">
        <v>392</v>
      </c>
      <c r="R16" s="38" t="s">
        <v>393</v>
      </c>
    </row>
    <row r="17" spans="3:18" ht="18" thickBot="1">
      <c r="C17" s="160" t="s">
        <v>3</v>
      </c>
      <c r="D17" s="161" t="s">
        <v>20</v>
      </c>
      <c r="E17" s="161" t="s">
        <v>19</v>
      </c>
      <c r="F17" s="28" t="s">
        <v>183</v>
      </c>
      <c r="G17" s="162" t="s">
        <v>767</v>
      </c>
      <c r="H17" s="162" t="s">
        <v>266</v>
      </c>
      <c r="I17" s="162" t="s">
        <v>768</v>
      </c>
      <c r="J17" t="b">
        <f t="shared" si="0"/>
        <v>1</v>
      </c>
      <c r="K17" s="37" t="s">
        <v>553</v>
      </c>
      <c r="L17" s="51" t="s">
        <v>394</v>
      </c>
      <c r="M17" s="51" t="s">
        <v>19</v>
      </c>
      <c r="N17" s="48" t="s">
        <v>554</v>
      </c>
      <c r="O17" s="52" t="s">
        <v>555</v>
      </c>
      <c r="P17" s="52" t="s">
        <v>556</v>
      </c>
      <c r="Q17" s="48"/>
      <c r="R17" s="48" t="s">
        <v>557</v>
      </c>
    </row>
    <row r="18" spans="3:18" ht="18" thickBot="1">
      <c r="C18" s="16" t="s">
        <v>3</v>
      </c>
      <c r="D18" s="17" t="s">
        <v>251</v>
      </c>
      <c r="E18" s="17" t="s">
        <v>19</v>
      </c>
      <c r="F18" s="28" t="s">
        <v>186</v>
      </c>
      <c r="G18" s="13" t="s">
        <v>244</v>
      </c>
      <c r="H18" s="13" t="s">
        <v>63</v>
      </c>
      <c r="I18" s="13" t="s">
        <v>769</v>
      </c>
      <c r="J18" t="b">
        <f t="shared" si="0"/>
        <v>1</v>
      </c>
      <c r="K18" s="37" t="s">
        <v>3</v>
      </c>
      <c r="L18" s="49" t="s">
        <v>498</v>
      </c>
      <c r="M18" s="49" t="s">
        <v>19</v>
      </c>
      <c r="N18" s="38" t="s">
        <v>558</v>
      </c>
      <c r="O18" s="38" t="s">
        <v>396</v>
      </c>
      <c r="P18" s="38" t="s">
        <v>397</v>
      </c>
      <c r="Q18" s="38" t="s">
        <v>392</v>
      </c>
      <c r="R18" s="38" t="s">
        <v>398</v>
      </c>
    </row>
    <row r="19" spans="3:18" ht="18" thickBot="1">
      <c r="C19" s="160" t="s">
        <v>3</v>
      </c>
      <c r="D19" s="161" t="s">
        <v>21</v>
      </c>
      <c r="E19" s="161" t="s">
        <v>19</v>
      </c>
      <c r="F19" s="28" t="s">
        <v>283</v>
      </c>
      <c r="G19" s="162" t="s">
        <v>300</v>
      </c>
      <c r="H19" s="162" t="s">
        <v>301</v>
      </c>
      <c r="I19" s="163" t="s">
        <v>583</v>
      </c>
      <c r="J19" t="b">
        <f t="shared" si="0"/>
        <v>1</v>
      </c>
      <c r="K19" s="37" t="s">
        <v>3</v>
      </c>
      <c r="L19" s="51" t="s">
        <v>502</v>
      </c>
      <c r="M19" s="51" t="s">
        <v>19</v>
      </c>
      <c r="N19" s="48" t="s">
        <v>582</v>
      </c>
      <c r="O19" s="52" t="s">
        <v>399</v>
      </c>
      <c r="P19" s="52" t="s">
        <v>559</v>
      </c>
      <c r="Q19" s="48"/>
      <c r="R19" s="48" t="s">
        <v>583</v>
      </c>
    </row>
    <row r="20" spans="3:18" ht="18" thickBot="1">
      <c r="C20" s="16" t="s">
        <v>3</v>
      </c>
      <c r="D20" s="17" t="s">
        <v>252</v>
      </c>
      <c r="E20" s="17" t="s">
        <v>22</v>
      </c>
      <c r="F20" s="28" t="s">
        <v>187</v>
      </c>
      <c r="G20" s="13" t="s">
        <v>65</v>
      </c>
      <c r="H20" s="13" t="s">
        <v>66</v>
      </c>
      <c r="I20" s="13" t="s">
        <v>67</v>
      </c>
      <c r="J20" t="b">
        <f t="shared" si="0"/>
        <v>1</v>
      </c>
      <c r="K20" s="37" t="s">
        <v>3</v>
      </c>
      <c r="L20" s="49" t="s">
        <v>551</v>
      </c>
      <c r="M20" s="49" t="s">
        <v>22</v>
      </c>
      <c r="N20" s="38" t="s">
        <v>560</v>
      </c>
      <c r="O20" s="38" t="s">
        <v>400</v>
      </c>
      <c r="P20" s="38" t="s">
        <v>401</v>
      </c>
      <c r="Q20" s="38" t="s">
        <v>402</v>
      </c>
      <c r="R20" s="38" t="s">
        <v>403</v>
      </c>
    </row>
    <row r="21" spans="3:18" ht="18" thickBot="1">
      <c r="C21" s="160" t="s">
        <v>3</v>
      </c>
      <c r="D21" s="161" t="s">
        <v>20</v>
      </c>
      <c r="E21" s="161" t="s">
        <v>22</v>
      </c>
      <c r="F21" s="28" t="s">
        <v>189</v>
      </c>
      <c r="G21" s="162" t="s">
        <v>272</v>
      </c>
      <c r="H21" s="162" t="s">
        <v>273</v>
      </c>
      <c r="I21" s="162" t="s">
        <v>282</v>
      </c>
      <c r="J21" t="b">
        <f t="shared" si="0"/>
        <v>1</v>
      </c>
      <c r="K21" s="37" t="s">
        <v>3</v>
      </c>
      <c r="L21" s="51" t="s">
        <v>394</v>
      </c>
      <c r="M21" s="51" t="s">
        <v>404</v>
      </c>
      <c r="N21" s="48" t="s">
        <v>561</v>
      </c>
      <c r="O21" s="52" t="s">
        <v>562</v>
      </c>
      <c r="P21" s="52" t="s">
        <v>563</v>
      </c>
      <c r="Q21" s="48"/>
      <c r="R21" s="48" t="s">
        <v>564</v>
      </c>
    </row>
    <row r="22" spans="3:18" ht="18" thickBot="1">
      <c r="C22" s="16" t="s">
        <v>3</v>
      </c>
      <c r="D22" s="17" t="s">
        <v>253</v>
      </c>
      <c r="E22" s="17" t="s">
        <v>22</v>
      </c>
      <c r="F22" s="28" t="s">
        <v>254</v>
      </c>
      <c r="G22" s="13" t="s">
        <v>68</v>
      </c>
      <c r="H22" s="13" t="s">
        <v>267</v>
      </c>
      <c r="I22" s="13" t="s">
        <v>69</v>
      </c>
      <c r="J22" t="b">
        <f t="shared" si="0"/>
        <v>1</v>
      </c>
      <c r="K22" s="37" t="s">
        <v>3</v>
      </c>
      <c r="L22" s="49" t="s">
        <v>498</v>
      </c>
      <c r="M22" s="49" t="s">
        <v>409</v>
      </c>
      <c r="N22" s="38" t="s">
        <v>565</v>
      </c>
      <c r="O22" s="38" t="s">
        <v>406</v>
      </c>
      <c r="P22" s="38" t="s">
        <v>407</v>
      </c>
      <c r="Q22" s="38" t="s">
        <v>402</v>
      </c>
      <c r="R22" s="38" t="s">
        <v>408</v>
      </c>
    </row>
    <row r="23" spans="3:18" ht="18" thickBot="1">
      <c r="C23" s="160" t="s">
        <v>3</v>
      </c>
      <c r="D23" s="161" t="s">
        <v>21</v>
      </c>
      <c r="E23" s="161" t="s">
        <v>22</v>
      </c>
      <c r="F23" s="28" t="s">
        <v>255</v>
      </c>
      <c r="G23" s="162" t="s">
        <v>276</v>
      </c>
      <c r="H23" s="162" t="s">
        <v>277</v>
      </c>
      <c r="I23" s="162" t="s">
        <v>284</v>
      </c>
      <c r="J23" t="b">
        <f t="shared" si="0"/>
        <v>1</v>
      </c>
      <c r="K23" s="37" t="s">
        <v>3</v>
      </c>
      <c r="L23" s="51" t="s">
        <v>566</v>
      </c>
      <c r="M23" s="51" t="s">
        <v>404</v>
      </c>
      <c r="N23" s="48" t="s">
        <v>410</v>
      </c>
      <c r="O23" s="52" t="s">
        <v>567</v>
      </c>
      <c r="P23" s="52" t="s">
        <v>568</v>
      </c>
      <c r="Q23" s="48"/>
      <c r="R23" s="48" t="s">
        <v>569</v>
      </c>
    </row>
    <row r="24" spans="3:18" ht="18" thickBot="1">
      <c r="C24" s="3" t="s">
        <v>9</v>
      </c>
      <c r="D24" s="4" t="s">
        <v>23</v>
      </c>
      <c r="E24" s="4" t="s">
        <v>24</v>
      </c>
      <c r="F24" s="31" t="s">
        <v>190</v>
      </c>
      <c r="G24" s="2" t="s">
        <v>245</v>
      </c>
      <c r="H24" s="2" t="s">
        <v>70</v>
      </c>
      <c r="I24" s="2" t="s">
        <v>71</v>
      </c>
      <c r="J24" t="b">
        <f t="shared" si="0"/>
        <v>1</v>
      </c>
      <c r="K24" s="39" t="s">
        <v>9</v>
      </c>
      <c r="L24" s="49" t="s">
        <v>23</v>
      </c>
      <c r="M24" s="49" t="s">
        <v>24</v>
      </c>
      <c r="N24" s="38" t="s">
        <v>411</v>
      </c>
      <c r="O24" s="38" t="s">
        <v>412</v>
      </c>
      <c r="P24" s="38" t="s">
        <v>413</v>
      </c>
      <c r="Q24" s="38" t="s">
        <v>414</v>
      </c>
      <c r="R24" s="38" t="s">
        <v>415</v>
      </c>
    </row>
    <row r="25" spans="3:18" ht="18" thickBot="1">
      <c r="C25" s="3" t="s">
        <v>9</v>
      </c>
      <c r="D25" s="4" t="s">
        <v>23</v>
      </c>
      <c r="E25" s="4" t="s">
        <v>25</v>
      </c>
      <c r="F25" s="31" t="s">
        <v>193</v>
      </c>
      <c r="G25" s="2" t="s">
        <v>246</v>
      </c>
      <c r="H25" s="2" t="s">
        <v>72</v>
      </c>
      <c r="I25" s="2" t="s">
        <v>73</v>
      </c>
      <c r="J25" t="b">
        <f t="shared" si="0"/>
        <v>1</v>
      </c>
      <c r="K25" s="39" t="s">
        <v>9</v>
      </c>
      <c r="L25" s="49" t="s">
        <v>23</v>
      </c>
      <c r="M25" s="49" t="s">
        <v>25</v>
      </c>
      <c r="N25" s="38" t="s">
        <v>416</v>
      </c>
      <c r="O25" s="38" t="s">
        <v>417</v>
      </c>
      <c r="P25" s="38" t="s">
        <v>418</v>
      </c>
      <c r="Q25" s="38" t="s">
        <v>419</v>
      </c>
      <c r="R25" s="38" t="s">
        <v>420</v>
      </c>
    </row>
    <row r="26" spans="3:18" ht="18" thickBot="1">
      <c r="C26" s="3" t="s">
        <v>14</v>
      </c>
      <c r="D26" s="4" t="s">
        <v>26</v>
      </c>
      <c r="E26" s="4" t="s">
        <v>27</v>
      </c>
      <c r="F26" s="31" t="s">
        <v>196</v>
      </c>
      <c r="G26" s="2" t="s">
        <v>247</v>
      </c>
      <c r="H26" s="2" t="s">
        <v>74</v>
      </c>
      <c r="I26" s="2" t="s">
        <v>75</v>
      </c>
      <c r="J26" t="b">
        <f t="shared" si="0"/>
        <v>1</v>
      </c>
      <c r="K26" s="40" t="s">
        <v>14</v>
      </c>
      <c r="L26" s="49" t="s">
        <v>26</v>
      </c>
      <c r="M26" s="49" t="s">
        <v>27</v>
      </c>
      <c r="N26" s="38" t="s">
        <v>421</v>
      </c>
      <c r="O26" s="38" t="s">
        <v>422</v>
      </c>
      <c r="P26" s="38" t="s">
        <v>423</v>
      </c>
      <c r="Q26" s="38" t="s">
        <v>424</v>
      </c>
      <c r="R26" s="38" t="s">
        <v>425</v>
      </c>
    </row>
    <row r="27" spans="3:18" ht="18" thickBot="1">
      <c r="C27" s="3" t="s">
        <v>14</v>
      </c>
      <c r="D27" s="4" t="s">
        <v>28</v>
      </c>
      <c r="E27" s="4" t="s">
        <v>27</v>
      </c>
      <c r="F27" s="31" t="s">
        <v>158</v>
      </c>
      <c r="G27" s="13" t="s">
        <v>248</v>
      </c>
      <c r="H27" s="13" t="s">
        <v>76</v>
      </c>
      <c r="I27" s="13" t="s">
        <v>213</v>
      </c>
      <c r="J27" t="b">
        <f t="shared" si="0"/>
        <v>1</v>
      </c>
      <c r="K27" s="40" t="s">
        <v>14</v>
      </c>
      <c r="L27" s="49" t="s">
        <v>28</v>
      </c>
      <c r="M27" s="49" t="s">
        <v>27</v>
      </c>
      <c r="N27" s="38" t="s">
        <v>426</v>
      </c>
      <c r="O27" s="38" t="s">
        <v>427</v>
      </c>
      <c r="P27" s="38" t="s">
        <v>428</v>
      </c>
      <c r="Q27" s="38" t="s">
        <v>424</v>
      </c>
      <c r="R27" s="38" t="s">
        <v>429</v>
      </c>
    </row>
    <row r="28" spans="3:18" ht="18" thickBot="1">
      <c r="C28" s="3" t="s">
        <v>14</v>
      </c>
      <c r="D28" s="4" t="s">
        <v>26</v>
      </c>
      <c r="E28" s="4" t="s">
        <v>29</v>
      </c>
      <c r="F28" s="31" t="s">
        <v>197</v>
      </c>
      <c r="G28" s="15" t="s">
        <v>77</v>
      </c>
      <c r="H28" s="15" t="s">
        <v>78</v>
      </c>
      <c r="I28" s="15" t="s">
        <v>79</v>
      </c>
      <c r="J28" t="b">
        <f t="shared" si="0"/>
        <v>1</v>
      </c>
      <c r="K28" s="40" t="s">
        <v>14</v>
      </c>
      <c r="L28" s="49" t="s">
        <v>26</v>
      </c>
      <c r="M28" s="49" t="s">
        <v>29</v>
      </c>
      <c r="N28" s="38" t="s">
        <v>430</v>
      </c>
      <c r="O28" s="38" t="s">
        <v>431</v>
      </c>
      <c r="P28" s="38" t="s">
        <v>432</v>
      </c>
      <c r="Q28" s="38" t="s">
        <v>433</v>
      </c>
      <c r="R28" s="38" t="s">
        <v>434</v>
      </c>
    </row>
    <row r="29" spans="3:18" ht="18" thickBot="1">
      <c r="C29" s="3" t="s">
        <v>14</v>
      </c>
      <c r="D29" s="4" t="s">
        <v>28</v>
      </c>
      <c r="E29" s="4" t="s">
        <v>29</v>
      </c>
      <c r="F29" s="31" t="s">
        <v>160</v>
      </c>
      <c r="G29" s="13" t="s">
        <v>80</v>
      </c>
      <c r="H29" s="13" t="s">
        <v>81</v>
      </c>
      <c r="I29" s="13" t="s">
        <v>216</v>
      </c>
      <c r="J29" t="b">
        <f t="shared" si="0"/>
        <v>1</v>
      </c>
      <c r="K29" s="40" t="s">
        <v>14</v>
      </c>
      <c r="L29" s="49" t="s">
        <v>28</v>
      </c>
      <c r="M29" s="49" t="s">
        <v>29</v>
      </c>
      <c r="N29" s="38" t="s">
        <v>435</v>
      </c>
      <c r="O29" s="38" t="s">
        <v>436</v>
      </c>
      <c r="P29" s="38" t="s">
        <v>437</v>
      </c>
      <c r="Q29" s="38" t="s">
        <v>433</v>
      </c>
      <c r="R29" s="38" t="s">
        <v>438</v>
      </c>
    </row>
    <row r="30" spans="3:18">
      <c r="C30" s="24"/>
      <c r="D30" s="24"/>
      <c r="E30" s="24"/>
      <c r="F30" s="24"/>
      <c r="G30" s="24"/>
      <c r="H30" s="24"/>
      <c r="I30" s="24"/>
      <c r="K30" s="45"/>
      <c r="L30" s="46"/>
      <c r="M30" s="46"/>
      <c r="N30" s="47"/>
      <c r="O30" s="41"/>
      <c r="P30" s="41"/>
      <c r="Q30" s="41"/>
      <c r="R30" s="41"/>
    </row>
    <row r="31" spans="3:18" ht="19.8" thickBot="1">
      <c r="C31" s="25" t="s">
        <v>169</v>
      </c>
      <c r="D31" s="23"/>
      <c r="E31" s="23"/>
      <c r="F31" s="23"/>
      <c r="G31" s="23"/>
      <c r="H31" s="23"/>
      <c r="I31" s="23"/>
      <c r="K31" s="45"/>
      <c r="L31" s="46"/>
      <c r="M31" s="46"/>
      <c r="N31" s="47"/>
      <c r="O31" s="41"/>
      <c r="P31" s="41"/>
      <c r="Q31" s="41"/>
      <c r="R31" s="41"/>
    </row>
    <row r="32" spans="3:18" ht="18" thickBot="1">
      <c r="C32" s="137" t="s">
        <v>0</v>
      </c>
      <c r="D32" s="137" t="s">
        <v>1</v>
      </c>
      <c r="E32" s="137" t="s">
        <v>2</v>
      </c>
      <c r="F32" s="137" t="s">
        <v>139</v>
      </c>
      <c r="G32" s="141" t="s">
        <v>137</v>
      </c>
      <c r="H32" s="141"/>
      <c r="I32" s="137" t="s">
        <v>143</v>
      </c>
      <c r="K32" s="41"/>
      <c r="L32" s="41"/>
      <c r="M32" s="42"/>
      <c r="N32" s="42"/>
      <c r="O32" s="42"/>
      <c r="P32" s="42"/>
      <c r="Q32" s="42"/>
      <c r="R32" s="42"/>
    </row>
    <row r="33" spans="3:18" ht="19.8" thickBot="1">
      <c r="C33" s="137"/>
      <c r="D33" s="137"/>
      <c r="E33" s="137"/>
      <c r="F33" s="137"/>
      <c r="G33" s="34" t="s">
        <v>30</v>
      </c>
      <c r="H33" s="34" t="s">
        <v>142</v>
      </c>
      <c r="I33" s="137"/>
      <c r="K33" s="35" t="s">
        <v>0</v>
      </c>
      <c r="L33" s="43" t="s">
        <v>1</v>
      </c>
      <c r="M33" s="43" t="s">
        <v>2</v>
      </c>
      <c r="N33" s="44" t="s">
        <v>547</v>
      </c>
      <c r="O33" s="44" t="s">
        <v>439</v>
      </c>
      <c r="P33" s="44" t="s">
        <v>330</v>
      </c>
      <c r="Q33" s="44" t="s">
        <v>331</v>
      </c>
      <c r="R33" s="44" t="s">
        <v>332</v>
      </c>
    </row>
    <row r="34" spans="3:18" ht="18" thickBot="1">
      <c r="C34" s="3" t="s">
        <v>3</v>
      </c>
      <c r="D34" s="4" t="s">
        <v>4</v>
      </c>
      <c r="E34" s="4" t="s">
        <v>5</v>
      </c>
      <c r="F34" s="27" t="s">
        <v>161</v>
      </c>
      <c r="G34" s="15" t="s">
        <v>83</v>
      </c>
      <c r="H34" s="15" t="s">
        <v>84</v>
      </c>
      <c r="I34" s="15" t="s">
        <v>85</v>
      </c>
      <c r="J34" t="b">
        <f>I34=R34</f>
        <v>1</v>
      </c>
      <c r="K34" s="37" t="s">
        <v>3</v>
      </c>
      <c r="L34" s="49" t="s">
        <v>4</v>
      </c>
      <c r="M34" s="49" t="s">
        <v>5</v>
      </c>
      <c r="N34" s="38" t="s">
        <v>440</v>
      </c>
      <c r="O34" s="38" t="s">
        <v>441</v>
      </c>
      <c r="P34" s="38" t="s">
        <v>442</v>
      </c>
      <c r="Q34" s="38" t="s">
        <v>443</v>
      </c>
      <c r="R34" s="38" t="s">
        <v>304</v>
      </c>
    </row>
    <row r="35" spans="3:18" ht="18" thickBot="1">
      <c r="C35" s="5" t="s">
        <v>3</v>
      </c>
      <c r="D35" s="6" t="s">
        <v>6</v>
      </c>
      <c r="E35" s="6" t="s">
        <v>5</v>
      </c>
      <c r="F35" s="27" t="s">
        <v>144</v>
      </c>
      <c r="G35" s="13" t="s">
        <v>86</v>
      </c>
      <c r="H35" s="13" t="s">
        <v>87</v>
      </c>
      <c r="I35" s="13" t="s">
        <v>219</v>
      </c>
      <c r="J35" t="b">
        <f t="shared" ref="J35:J59" si="1">I35=R35</f>
        <v>1</v>
      </c>
      <c r="K35" s="37" t="s">
        <v>3</v>
      </c>
      <c r="L35" s="50" t="s">
        <v>6</v>
      </c>
      <c r="M35" s="50" t="s">
        <v>5</v>
      </c>
      <c r="N35" s="38" t="s">
        <v>444</v>
      </c>
      <c r="O35" s="38" t="s">
        <v>445</v>
      </c>
      <c r="P35" s="38" t="s">
        <v>446</v>
      </c>
      <c r="Q35" s="38" t="s">
        <v>443</v>
      </c>
      <c r="R35" s="38" t="s">
        <v>305</v>
      </c>
    </row>
    <row r="36" spans="3:18" ht="18" thickBot="1">
      <c r="C36" s="3" t="s">
        <v>3</v>
      </c>
      <c r="D36" s="4" t="s">
        <v>4</v>
      </c>
      <c r="E36" s="4" t="s">
        <v>7</v>
      </c>
      <c r="F36" s="28" t="s">
        <v>145</v>
      </c>
      <c r="G36" s="15" t="s">
        <v>88</v>
      </c>
      <c r="H36" s="15" t="s">
        <v>89</v>
      </c>
      <c r="I36" s="15" t="s">
        <v>90</v>
      </c>
      <c r="J36" t="b">
        <f t="shared" si="1"/>
        <v>1</v>
      </c>
      <c r="K36" s="37" t="s">
        <v>3</v>
      </c>
      <c r="L36" s="49" t="s">
        <v>4</v>
      </c>
      <c r="M36" s="49" t="s">
        <v>7</v>
      </c>
      <c r="N36" s="38" t="s">
        <v>447</v>
      </c>
      <c r="O36" s="38" t="s">
        <v>448</v>
      </c>
      <c r="P36" s="38" t="s">
        <v>449</v>
      </c>
      <c r="Q36" s="38" t="s">
        <v>450</v>
      </c>
      <c r="R36" s="38" t="s">
        <v>306</v>
      </c>
    </row>
    <row r="37" spans="3:18" ht="18" thickBot="1">
      <c r="C37" s="3" t="s">
        <v>3</v>
      </c>
      <c r="D37" s="4" t="s">
        <v>6</v>
      </c>
      <c r="E37" s="4" t="s">
        <v>7</v>
      </c>
      <c r="F37" s="29" t="s">
        <v>146</v>
      </c>
      <c r="G37" s="13" t="s">
        <v>91</v>
      </c>
      <c r="H37" s="13" t="s">
        <v>92</v>
      </c>
      <c r="I37" s="13" t="s">
        <v>93</v>
      </c>
      <c r="J37" t="b">
        <f t="shared" si="1"/>
        <v>1</v>
      </c>
      <c r="K37" s="37" t="s">
        <v>3</v>
      </c>
      <c r="L37" s="49" t="s">
        <v>6</v>
      </c>
      <c r="M37" s="49" t="s">
        <v>7</v>
      </c>
      <c r="N37" s="38" t="s">
        <v>451</v>
      </c>
      <c r="O37" s="38" t="s">
        <v>452</v>
      </c>
      <c r="P37" s="38" t="s">
        <v>453</v>
      </c>
      <c r="Q37" s="38" t="s">
        <v>450</v>
      </c>
      <c r="R37" s="38" t="s">
        <v>307</v>
      </c>
    </row>
    <row r="38" spans="3:18" ht="18" thickBot="1">
      <c r="C38" s="3" t="s">
        <v>3</v>
      </c>
      <c r="D38" s="4" t="s">
        <v>4</v>
      </c>
      <c r="E38" s="4" t="s">
        <v>8</v>
      </c>
      <c r="F38" s="28" t="s">
        <v>147</v>
      </c>
      <c r="G38" s="15" t="s">
        <v>94</v>
      </c>
      <c r="H38" s="15" t="s">
        <v>95</v>
      </c>
      <c r="I38" s="15" t="s">
        <v>96</v>
      </c>
      <c r="J38" t="b">
        <f t="shared" si="1"/>
        <v>1</v>
      </c>
      <c r="K38" s="37" t="s">
        <v>3</v>
      </c>
      <c r="L38" s="49" t="s">
        <v>4</v>
      </c>
      <c r="M38" s="49" t="s">
        <v>8</v>
      </c>
      <c r="N38" s="38" t="s">
        <v>454</v>
      </c>
      <c r="O38" s="38" t="s">
        <v>455</v>
      </c>
      <c r="P38" s="38" t="s">
        <v>456</v>
      </c>
      <c r="Q38" s="38" t="s">
        <v>457</v>
      </c>
      <c r="R38" s="38" t="s">
        <v>458</v>
      </c>
    </row>
    <row r="39" spans="3:18" ht="18" thickBot="1">
      <c r="C39" s="3" t="s">
        <v>3</v>
      </c>
      <c r="D39" s="4" t="s">
        <v>6</v>
      </c>
      <c r="E39" s="4" t="s">
        <v>8</v>
      </c>
      <c r="F39" s="28" t="s">
        <v>148</v>
      </c>
      <c r="G39" s="13" t="s">
        <v>97</v>
      </c>
      <c r="H39" s="13" t="s">
        <v>98</v>
      </c>
      <c r="I39" s="13" t="s">
        <v>99</v>
      </c>
      <c r="J39" t="b">
        <f t="shared" si="1"/>
        <v>1</v>
      </c>
      <c r="K39" s="37" t="s">
        <v>3</v>
      </c>
      <c r="L39" s="49" t="s">
        <v>6</v>
      </c>
      <c r="M39" s="49" t="s">
        <v>8</v>
      </c>
      <c r="N39" s="38" t="s">
        <v>459</v>
      </c>
      <c r="O39" s="38" t="s">
        <v>460</v>
      </c>
      <c r="P39" s="38" t="s">
        <v>461</v>
      </c>
      <c r="Q39" s="38" t="s">
        <v>457</v>
      </c>
      <c r="R39" s="38" t="s">
        <v>462</v>
      </c>
    </row>
    <row r="40" spans="3:18" ht="18" thickBot="1">
      <c r="C40" s="3" t="s">
        <v>9</v>
      </c>
      <c r="D40" s="4" t="s">
        <v>10</v>
      </c>
      <c r="E40" s="4" t="s">
        <v>11</v>
      </c>
      <c r="F40" s="28" t="s">
        <v>149</v>
      </c>
      <c r="G40" s="15" t="s">
        <v>100</v>
      </c>
      <c r="H40" s="15" t="s">
        <v>101</v>
      </c>
      <c r="I40" s="15" t="s">
        <v>102</v>
      </c>
      <c r="J40" t="b">
        <f t="shared" si="1"/>
        <v>1</v>
      </c>
      <c r="K40" s="39" t="s">
        <v>9</v>
      </c>
      <c r="L40" s="49" t="s">
        <v>468</v>
      </c>
      <c r="M40" s="49" t="s">
        <v>11</v>
      </c>
      <c r="N40" s="38" t="s">
        <v>463</v>
      </c>
      <c r="O40" s="38" t="s">
        <v>464</v>
      </c>
      <c r="P40" s="38" t="s">
        <v>465</v>
      </c>
      <c r="Q40" s="38" t="s">
        <v>466</v>
      </c>
      <c r="R40" s="38" t="s">
        <v>467</v>
      </c>
    </row>
    <row r="41" spans="3:18" ht="18" thickBot="1">
      <c r="C41" s="3" t="s">
        <v>9</v>
      </c>
      <c r="D41" s="4" t="s">
        <v>12</v>
      </c>
      <c r="E41" s="4" t="s">
        <v>13</v>
      </c>
      <c r="F41" s="28" t="s">
        <v>150</v>
      </c>
      <c r="G41" s="15" t="s">
        <v>103</v>
      </c>
      <c r="H41" s="15" t="s">
        <v>104</v>
      </c>
      <c r="I41" s="15" t="s">
        <v>105</v>
      </c>
      <c r="J41" t="b">
        <f t="shared" si="1"/>
        <v>1</v>
      </c>
      <c r="K41" s="39" t="s">
        <v>365</v>
      </c>
      <c r="L41" s="49" t="s">
        <v>550</v>
      </c>
      <c r="M41" s="49" t="s">
        <v>13</v>
      </c>
      <c r="N41" s="38" t="s">
        <v>469</v>
      </c>
      <c r="O41" s="38" t="s">
        <v>470</v>
      </c>
      <c r="P41" s="38" t="s">
        <v>471</v>
      </c>
      <c r="Q41" s="38" t="s">
        <v>472</v>
      </c>
      <c r="R41" s="38" t="s">
        <v>473</v>
      </c>
    </row>
    <row r="42" spans="3:18" ht="35.4" thickBot="1">
      <c r="C42" s="3" t="s">
        <v>14</v>
      </c>
      <c r="D42" s="4" t="s">
        <v>15</v>
      </c>
      <c r="E42" s="4" t="s">
        <v>16</v>
      </c>
      <c r="F42" s="28" t="s">
        <v>151</v>
      </c>
      <c r="G42" s="15" t="s">
        <v>106</v>
      </c>
      <c r="H42" s="15" t="s">
        <v>107</v>
      </c>
      <c r="I42" s="15" t="s">
        <v>108</v>
      </c>
      <c r="J42" t="b">
        <f t="shared" si="1"/>
        <v>1</v>
      </c>
      <c r="K42" s="40" t="s">
        <v>14</v>
      </c>
      <c r="L42" s="49" t="s">
        <v>15</v>
      </c>
      <c r="M42" s="49" t="s">
        <v>16</v>
      </c>
      <c r="N42" s="38" t="s">
        <v>474</v>
      </c>
      <c r="O42" s="38" t="s">
        <v>475</v>
      </c>
      <c r="P42" s="38" t="s">
        <v>476</v>
      </c>
      <c r="Q42" s="38" t="s">
        <v>477</v>
      </c>
      <c r="R42" s="38" t="s">
        <v>478</v>
      </c>
    </row>
    <row r="43" spans="3:18" ht="35.4" thickBot="1">
      <c r="C43" s="3" t="s">
        <v>14</v>
      </c>
      <c r="D43" s="4" t="s">
        <v>17</v>
      </c>
      <c r="E43" s="4" t="s">
        <v>16</v>
      </c>
      <c r="F43" s="28" t="s">
        <v>152</v>
      </c>
      <c r="G43" s="13" t="s">
        <v>109</v>
      </c>
      <c r="H43" s="13" t="s">
        <v>110</v>
      </c>
      <c r="I43" s="13" t="s">
        <v>226</v>
      </c>
      <c r="J43" t="b">
        <f t="shared" si="1"/>
        <v>1</v>
      </c>
      <c r="K43" s="40" t="s">
        <v>14</v>
      </c>
      <c r="L43" s="49" t="s">
        <v>17</v>
      </c>
      <c r="M43" s="49" t="s">
        <v>16</v>
      </c>
      <c r="N43" s="38" t="s">
        <v>479</v>
      </c>
      <c r="O43" s="38" t="s">
        <v>480</v>
      </c>
      <c r="P43" s="38" t="s">
        <v>481</v>
      </c>
      <c r="Q43" s="38" t="s">
        <v>477</v>
      </c>
      <c r="R43" s="38" t="s">
        <v>482</v>
      </c>
    </row>
    <row r="44" spans="3:18" ht="35.4" thickBot="1">
      <c r="C44" s="3" t="s">
        <v>14</v>
      </c>
      <c r="D44" s="4" t="s">
        <v>15</v>
      </c>
      <c r="E44" s="4" t="s">
        <v>18</v>
      </c>
      <c r="F44" s="28" t="s">
        <v>153</v>
      </c>
      <c r="G44" s="15" t="s">
        <v>111</v>
      </c>
      <c r="H44" s="15" t="s">
        <v>112</v>
      </c>
      <c r="I44" s="15" t="s">
        <v>113</v>
      </c>
      <c r="J44" t="b">
        <f t="shared" si="1"/>
        <v>1</v>
      </c>
      <c r="K44" s="40" t="s">
        <v>14</v>
      </c>
      <c r="L44" s="49" t="s">
        <v>15</v>
      </c>
      <c r="M44" s="49" t="s">
        <v>18</v>
      </c>
      <c r="N44" s="38" t="s">
        <v>483</v>
      </c>
      <c r="O44" s="38" t="s">
        <v>484</v>
      </c>
      <c r="P44" s="38" t="s">
        <v>485</v>
      </c>
      <c r="Q44" s="38" t="s">
        <v>486</v>
      </c>
      <c r="R44" s="38" t="s">
        <v>487</v>
      </c>
    </row>
    <row r="45" spans="3:18" ht="35.4" thickBot="1">
      <c r="C45" s="3" t="s">
        <v>14</v>
      </c>
      <c r="D45" s="4" t="s">
        <v>17</v>
      </c>
      <c r="E45" s="4" t="s">
        <v>18</v>
      </c>
      <c r="F45" s="28" t="s">
        <v>154</v>
      </c>
      <c r="G45" s="13" t="s">
        <v>114</v>
      </c>
      <c r="H45" s="13" t="s">
        <v>115</v>
      </c>
      <c r="I45" s="13" t="s">
        <v>228</v>
      </c>
      <c r="J45" t="b">
        <f t="shared" si="1"/>
        <v>1</v>
      </c>
      <c r="K45" s="40" t="s">
        <v>14</v>
      </c>
      <c r="L45" s="49" t="s">
        <v>17</v>
      </c>
      <c r="M45" s="49" t="s">
        <v>18</v>
      </c>
      <c r="N45" s="38" t="s">
        <v>488</v>
      </c>
      <c r="O45" s="38" t="s">
        <v>489</v>
      </c>
      <c r="P45" s="38" t="s">
        <v>490</v>
      </c>
      <c r="Q45" s="38" t="s">
        <v>486</v>
      </c>
      <c r="R45" s="38" t="s">
        <v>491</v>
      </c>
    </row>
    <row r="46" spans="3:18" ht="18" thickBot="1">
      <c r="C46" s="16" t="s">
        <v>3</v>
      </c>
      <c r="D46" s="17" t="s">
        <v>239</v>
      </c>
      <c r="E46" s="17" t="s">
        <v>19</v>
      </c>
      <c r="F46" s="28" t="s">
        <v>182</v>
      </c>
      <c r="G46" s="13" t="s">
        <v>116</v>
      </c>
      <c r="H46" s="13" t="s">
        <v>185</v>
      </c>
      <c r="I46" s="13" t="s">
        <v>258</v>
      </c>
      <c r="J46" t="b">
        <f t="shared" si="1"/>
        <v>1</v>
      </c>
      <c r="K46" s="37" t="s">
        <v>3</v>
      </c>
      <c r="L46" s="49" t="s">
        <v>389</v>
      </c>
      <c r="M46" s="49" t="s">
        <v>492</v>
      </c>
      <c r="N46" s="38" t="s">
        <v>493</v>
      </c>
      <c r="O46" s="38" t="s">
        <v>494</v>
      </c>
      <c r="P46" s="38" t="s">
        <v>495</v>
      </c>
      <c r="Q46" s="38" t="s">
        <v>496</v>
      </c>
      <c r="R46" s="38" t="s">
        <v>497</v>
      </c>
    </row>
    <row r="47" spans="3:18" ht="18" thickBot="1">
      <c r="C47" s="18" t="s">
        <v>3</v>
      </c>
      <c r="D47" s="19" t="s">
        <v>257</v>
      </c>
      <c r="E47" s="19" t="s">
        <v>19</v>
      </c>
      <c r="F47" s="30" t="s">
        <v>268</v>
      </c>
      <c r="G47" s="20" t="s">
        <v>278</v>
      </c>
      <c r="H47" s="20" t="s">
        <v>279</v>
      </c>
      <c r="I47" s="20" t="s">
        <v>285</v>
      </c>
      <c r="J47" t="b">
        <f t="shared" si="1"/>
        <v>1</v>
      </c>
      <c r="K47" s="37"/>
      <c r="L47" s="51" t="s">
        <v>509</v>
      </c>
      <c r="M47" s="51" t="s">
        <v>570</v>
      </c>
      <c r="N47" s="48" t="s">
        <v>571</v>
      </c>
      <c r="O47" s="52" t="s">
        <v>572</v>
      </c>
      <c r="P47" s="52" t="s">
        <v>573</v>
      </c>
      <c r="Q47" s="48"/>
      <c r="R47" s="48" t="s">
        <v>574</v>
      </c>
    </row>
    <row r="48" spans="3:18" ht="18" thickBot="1">
      <c r="C48" s="16" t="s">
        <v>3</v>
      </c>
      <c r="D48" s="17" t="s">
        <v>253</v>
      </c>
      <c r="E48" s="17" t="s">
        <v>19</v>
      </c>
      <c r="F48" s="28" t="s">
        <v>186</v>
      </c>
      <c r="G48" s="13" t="s">
        <v>117</v>
      </c>
      <c r="H48" s="13" t="s">
        <v>118</v>
      </c>
      <c r="I48" s="13" t="s">
        <v>230</v>
      </c>
      <c r="J48" t="b">
        <f t="shared" si="1"/>
        <v>1</v>
      </c>
      <c r="K48" s="37" t="s">
        <v>3</v>
      </c>
      <c r="L48" s="49" t="s">
        <v>395</v>
      </c>
      <c r="M48" s="49" t="s">
        <v>492</v>
      </c>
      <c r="N48" s="38" t="s">
        <v>575</v>
      </c>
      <c r="O48" s="38" t="s">
        <v>499</v>
      </c>
      <c r="P48" s="38" t="s">
        <v>500</v>
      </c>
      <c r="Q48" s="38" t="s">
        <v>496</v>
      </c>
      <c r="R48" s="38" t="s">
        <v>501</v>
      </c>
    </row>
    <row r="49" spans="3:18" ht="18" thickBot="1">
      <c r="C49" s="18" t="s">
        <v>3</v>
      </c>
      <c r="D49" s="19" t="s">
        <v>269</v>
      </c>
      <c r="E49" s="19" t="s">
        <v>19</v>
      </c>
      <c r="F49" s="30" t="s">
        <v>188</v>
      </c>
      <c r="G49" s="20" t="s">
        <v>280</v>
      </c>
      <c r="H49" s="20" t="s">
        <v>281</v>
      </c>
      <c r="I49" s="20" t="s">
        <v>286</v>
      </c>
      <c r="J49" t="b">
        <f t="shared" si="1"/>
        <v>1</v>
      </c>
      <c r="K49" s="37"/>
      <c r="L49" s="51" t="s">
        <v>502</v>
      </c>
      <c r="M49" s="51" t="s">
        <v>492</v>
      </c>
      <c r="N49" s="48" t="s">
        <v>503</v>
      </c>
      <c r="O49" s="52" t="s">
        <v>576</v>
      </c>
      <c r="P49" s="52" t="s">
        <v>577</v>
      </c>
      <c r="Q49" s="48"/>
      <c r="R49" s="48" t="s">
        <v>578</v>
      </c>
    </row>
    <row r="50" spans="3:18" ht="18" thickBot="1">
      <c r="C50" s="16" t="s">
        <v>3</v>
      </c>
      <c r="D50" s="17" t="s">
        <v>239</v>
      </c>
      <c r="E50" s="17" t="s">
        <v>22</v>
      </c>
      <c r="F50" s="28" t="s">
        <v>259</v>
      </c>
      <c r="G50" s="13" t="s">
        <v>260</v>
      </c>
      <c r="H50" s="13" t="s">
        <v>119</v>
      </c>
      <c r="I50" s="13" t="s">
        <v>120</v>
      </c>
      <c r="J50" t="b">
        <f t="shared" si="1"/>
        <v>1</v>
      </c>
      <c r="K50" s="37" t="s">
        <v>3</v>
      </c>
      <c r="L50" s="49" t="s">
        <v>389</v>
      </c>
      <c r="M50" s="49" t="s">
        <v>404</v>
      </c>
      <c r="N50" s="38" t="s">
        <v>504</v>
      </c>
      <c r="O50" s="38" t="s">
        <v>505</v>
      </c>
      <c r="P50" s="38" t="s">
        <v>506</v>
      </c>
      <c r="Q50" s="38" t="s">
        <v>507</v>
      </c>
      <c r="R50" s="38" t="s">
        <v>508</v>
      </c>
    </row>
    <row r="51" spans="3:18" ht="18" thickBot="1">
      <c r="C51" s="18" t="s">
        <v>3</v>
      </c>
      <c r="D51" s="19" t="s">
        <v>270</v>
      </c>
      <c r="E51" s="19" t="s">
        <v>22</v>
      </c>
      <c r="F51" s="30" t="s">
        <v>271</v>
      </c>
      <c r="G51" s="20" t="s">
        <v>288</v>
      </c>
      <c r="H51" s="20" t="s">
        <v>289</v>
      </c>
      <c r="I51" s="20" t="s">
        <v>290</v>
      </c>
      <c r="J51" t="b">
        <f t="shared" si="1"/>
        <v>1</v>
      </c>
      <c r="K51" s="37"/>
      <c r="L51" s="51" t="s">
        <v>509</v>
      </c>
      <c r="M51" s="51" t="s">
        <v>404</v>
      </c>
      <c r="N51" s="48" t="s">
        <v>510</v>
      </c>
      <c r="O51" s="52" t="s">
        <v>579</v>
      </c>
      <c r="P51" s="52" t="s">
        <v>511</v>
      </c>
      <c r="Q51" s="48"/>
      <c r="R51" s="48" t="s">
        <v>512</v>
      </c>
    </row>
    <row r="52" spans="3:18" ht="18" thickBot="1">
      <c r="C52" s="16" t="s">
        <v>3</v>
      </c>
      <c r="D52" s="17" t="s">
        <v>261</v>
      </c>
      <c r="E52" s="17" t="s">
        <v>22</v>
      </c>
      <c r="F52" s="28" t="s">
        <v>262</v>
      </c>
      <c r="G52" s="13" t="s">
        <v>263</v>
      </c>
      <c r="H52" s="13" t="s">
        <v>121</v>
      </c>
      <c r="I52" s="13" t="s">
        <v>232</v>
      </c>
      <c r="J52" t="b">
        <f t="shared" si="1"/>
        <v>1</v>
      </c>
      <c r="K52" s="37" t="s">
        <v>3</v>
      </c>
      <c r="L52" s="49" t="s">
        <v>498</v>
      </c>
      <c r="M52" s="49" t="s">
        <v>22</v>
      </c>
      <c r="N52" s="38" t="s">
        <v>580</v>
      </c>
      <c r="O52" s="38" t="s">
        <v>513</v>
      </c>
      <c r="P52" s="38" t="s">
        <v>514</v>
      </c>
      <c r="Q52" s="38" t="s">
        <v>507</v>
      </c>
      <c r="R52" s="38" t="s">
        <v>515</v>
      </c>
    </row>
    <row r="53" spans="3:18" ht="18" thickBot="1">
      <c r="C53" s="18" t="s">
        <v>3</v>
      </c>
      <c r="D53" s="19" t="s">
        <v>269</v>
      </c>
      <c r="E53" s="19" t="s">
        <v>22</v>
      </c>
      <c r="F53" s="30" t="s">
        <v>256</v>
      </c>
      <c r="G53" s="20" t="s">
        <v>291</v>
      </c>
      <c r="H53" s="20" t="s">
        <v>292</v>
      </c>
      <c r="I53" s="20" t="s">
        <v>295</v>
      </c>
      <c r="J53" t="b">
        <f t="shared" si="1"/>
        <v>1</v>
      </c>
      <c r="K53" s="37"/>
      <c r="L53" s="51" t="s">
        <v>502</v>
      </c>
      <c r="M53" s="51" t="s">
        <v>405</v>
      </c>
      <c r="N53" s="48" t="s">
        <v>581</v>
      </c>
      <c r="O53" s="52" t="s">
        <v>516</v>
      </c>
      <c r="P53" s="52" t="s">
        <v>517</v>
      </c>
      <c r="Q53" s="48"/>
      <c r="R53" s="48" t="s">
        <v>518</v>
      </c>
    </row>
    <row r="54" spans="3:18" ht="18" thickBot="1">
      <c r="C54" s="3" t="s">
        <v>9</v>
      </c>
      <c r="D54" s="4" t="s">
        <v>23</v>
      </c>
      <c r="E54" s="4" t="s">
        <v>24</v>
      </c>
      <c r="F54" s="31" t="s">
        <v>155</v>
      </c>
      <c r="G54" s="2" t="s">
        <v>122</v>
      </c>
      <c r="H54" s="2" t="s">
        <v>123</v>
      </c>
      <c r="I54" s="2" t="s">
        <v>124</v>
      </c>
      <c r="J54" t="b">
        <f t="shared" si="1"/>
        <v>1</v>
      </c>
      <c r="K54" s="39" t="s">
        <v>9</v>
      </c>
      <c r="L54" s="49" t="s">
        <v>23</v>
      </c>
      <c r="M54" s="49" t="s">
        <v>24</v>
      </c>
      <c r="N54" s="38" t="s">
        <v>519</v>
      </c>
      <c r="O54" s="38" t="s">
        <v>520</v>
      </c>
      <c r="P54" s="38" t="s">
        <v>521</v>
      </c>
      <c r="Q54" s="38" t="s">
        <v>522</v>
      </c>
      <c r="R54" s="38" t="s">
        <v>523</v>
      </c>
    </row>
    <row r="55" spans="3:18" ht="18" thickBot="1">
      <c r="C55" s="3" t="s">
        <v>9</v>
      </c>
      <c r="D55" s="4" t="s">
        <v>23</v>
      </c>
      <c r="E55" s="4" t="s">
        <v>25</v>
      </c>
      <c r="F55" s="31" t="s">
        <v>156</v>
      </c>
      <c r="G55" s="2" t="s">
        <v>125</v>
      </c>
      <c r="H55" s="2" t="s">
        <v>126</v>
      </c>
      <c r="I55" s="2" t="s">
        <v>249</v>
      </c>
      <c r="J55" t="b">
        <f t="shared" si="1"/>
        <v>1</v>
      </c>
      <c r="K55" s="39" t="s">
        <v>9</v>
      </c>
      <c r="L55" s="49" t="s">
        <v>23</v>
      </c>
      <c r="M55" s="49" t="s">
        <v>25</v>
      </c>
      <c r="N55" s="38" t="s">
        <v>524</v>
      </c>
      <c r="O55" s="38" t="s">
        <v>525</v>
      </c>
      <c r="P55" s="38" t="s">
        <v>526</v>
      </c>
      <c r="Q55" s="38" t="s">
        <v>527</v>
      </c>
      <c r="R55" s="38" t="s">
        <v>528</v>
      </c>
    </row>
    <row r="56" spans="3:18" ht="18" thickBot="1">
      <c r="C56" s="3" t="s">
        <v>14</v>
      </c>
      <c r="D56" s="4" t="s">
        <v>26</v>
      </c>
      <c r="E56" s="4" t="s">
        <v>27</v>
      </c>
      <c r="F56" s="31" t="s">
        <v>157</v>
      </c>
      <c r="G56" s="15" t="s">
        <v>127</v>
      </c>
      <c r="H56" s="15" t="s">
        <v>128</v>
      </c>
      <c r="I56" s="15" t="s">
        <v>129</v>
      </c>
      <c r="J56" t="b">
        <f t="shared" si="1"/>
        <v>1</v>
      </c>
      <c r="K56" s="40" t="s">
        <v>14</v>
      </c>
      <c r="L56" s="49" t="s">
        <v>26</v>
      </c>
      <c r="M56" s="49" t="s">
        <v>27</v>
      </c>
      <c r="N56" s="38" t="s">
        <v>529</v>
      </c>
      <c r="O56" s="38" t="s">
        <v>530</v>
      </c>
      <c r="P56" s="38" t="s">
        <v>531</v>
      </c>
      <c r="Q56" s="38" t="s">
        <v>532</v>
      </c>
      <c r="R56" s="38" t="s">
        <v>533</v>
      </c>
    </row>
    <row r="57" spans="3:18" ht="18" thickBot="1">
      <c r="C57" s="3" t="s">
        <v>14</v>
      </c>
      <c r="D57" s="4" t="s">
        <v>28</v>
      </c>
      <c r="E57" s="4" t="s">
        <v>27</v>
      </c>
      <c r="F57" s="31" t="s">
        <v>158</v>
      </c>
      <c r="G57" s="13" t="s">
        <v>130</v>
      </c>
      <c r="H57" s="13" t="s">
        <v>131</v>
      </c>
      <c r="I57" s="13" t="s">
        <v>234</v>
      </c>
      <c r="J57" t="b">
        <f t="shared" si="1"/>
        <v>1</v>
      </c>
      <c r="K57" s="40" t="s">
        <v>14</v>
      </c>
      <c r="L57" s="49" t="s">
        <v>28</v>
      </c>
      <c r="M57" s="49" t="s">
        <v>27</v>
      </c>
      <c r="N57" s="38" t="s">
        <v>534</v>
      </c>
      <c r="O57" s="38" t="s">
        <v>535</v>
      </c>
      <c r="P57" s="38" t="s">
        <v>536</v>
      </c>
      <c r="Q57" s="38" t="s">
        <v>532</v>
      </c>
      <c r="R57" s="38" t="s">
        <v>537</v>
      </c>
    </row>
    <row r="58" spans="3:18" ht="18" thickBot="1">
      <c r="C58" s="3" t="s">
        <v>14</v>
      </c>
      <c r="D58" s="4" t="s">
        <v>26</v>
      </c>
      <c r="E58" s="4" t="s">
        <v>29</v>
      </c>
      <c r="F58" s="31" t="s">
        <v>159</v>
      </c>
      <c r="G58" s="15" t="s">
        <v>132</v>
      </c>
      <c r="H58" s="15" t="s">
        <v>133</v>
      </c>
      <c r="I58" s="15" t="s">
        <v>134</v>
      </c>
      <c r="J58" t="b">
        <f t="shared" si="1"/>
        <v>1</v>
      </c>
      <c r="K58" s="40" t="s">
        <v>14</v>
      </c>
      <c r="L58" s="49" t="s">
        <v>26</v>
      </c>
      <c r="M58" s="49" t="s">
        <v>29</v>
      </c>
      <c r="N58" s="38" t="s">
        <v>538</v>
      </c>
      <c r="O58" s="38" t="s">
        <v>539</v>
      </c>
      <c r="P58" s="38" t="s">
        <v>540</v>
      </c>
      <c r="Q58" s="38" t="s">
        <v>541</v>
      </c>
      <c r="R58" s="38" t="s">
        <v>542</v>
      </c>
    </row>
    <row r="59" spans="3:18" ht="18" thickBot="1">
      <c r="C59" s="3" t="s">
        <v>14</v>
      </c>
      <c r="D59" s="4" t="s">
        <v>28</v>
      </c>
      <c r="E59" s="4" t="s">
        <v>29</v>
      </c>
      <c r="F59" s="31" t="s">
        <v>160</v>
      </c>
      <c r="G59" s="13" t="s">
        <v>135</v>
      </c>
      <c r="H59" s="13" t="s">
        <v>136</v>
      </c>
      <c r="I59" s="13" t="s">
        <v>237</v>
      </c>
      <c r="J59" t="b">
        <f t="shared" si="1"/>
        <v>1</v>
      </c>
      <c r="K59" s="40" t="s">
        <v>14</v>
      </c>
      <c r="L59" s="49" t="s">
        <v>28</v>
      </c>
      <c r="M59" s="49" t="s">
        <v>29</v>
      </c>
      <c r="N59" s="38" t="s">
        <v>543</v>
      </c>
      <c r="O59" s="38" t="s">
        <v>544</v>
      </c>
      <c r="P59" s="38" t="s">
        <v>545</v>
      </c>
      <c r="Q59" s="38" t="s">
        <v>541</v>
      </c>
      <c r="R59" s="38" t="s">
        <v>546</v>
      </c>
    </row>
  </sheetData>
  <mergeCells count="12">
    <mergeCell ref="I32:I33"/>
    <mergeCell ref="C2:C3"/>
    <mergeCell ref="D2:D3"/>
    <mergeCell ref="E2:E3"/>
    <mergeCell ref="F2:F3"/>
    <mergeCell ref="G2:H2"/>
    <mergeCell ref="I2:I3"/>
    <mergeCell ref="C32:C33"/>
    <mergeCell ref="D32:D33"/>
    <mergeCell ref="E32:E33"/>
    <mergeCell ref="F32:F33"/>
    <mergeCell ref="G32:H32"/>
  </mergeCells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3"/>
  <sheetViews>
    <sheetView topLeftCell="A13" workbookViewId="0">
      <selection activeCell="A15" sqref="A15"/>
    </sheetView>
  </sheetViews>
  <sheetFormatPr defaultRowHeight="17.399999999999999"/>
  <cols>
    <col min="1" max="1" width="99" customWidth="1"/>
    <col min="3" max="3" width="12.59765625" bestFit="1" customWidth="1"/>
    <col min="4" max="4" width="4.796875" customWidth="1"/>
    <col min="5" max="5" width="12.59765625" bestFit="1" customWidth="1"/>
    <col min="7" max="7" width="37.69921875" bestFit="1" customWidth="1"/>
    <col min="9" max="9" width="16.19921875" bestFit="1" customWidth="1"/>
    <col min="12" max="12" width="12.19921875" bestFit="1" customWidth="1"/>
    <col min="13" max="13" width="15.5" bestFit="1" customWidth="1"/>
    <col min="15" max="15" width="91.69921875" bestFit="1" customWidth="1"/>
  </cols>
  <sheetData>
    <row r="1" spans="1:15">
      <c r="A1" t="str">
        <f>CONCATENATE(C1,D1,E1,F1,G1,H1,I1,J1,K1)</f>
        <v>ALTER USER 'LRM_ADMIN' IDENTIFIED WITH caching_sha2_password BY '@anxkfrleh25!$';</v>
      </c>
      <c r="C1" t="s">
        <v>678</v>
      </c>
      <c r="D1" s="98" t="s">
        <v>679</v>
      </c>
      <c r="E1" s="98" t="str">
        <f>L1</f>
        <v>LRM_ADMIN</v>
      </c>
      <c r="F1" s="98" t="s">
        <v>680</v>
      </c>
      <c r="G1" t="s">
        <v>681</v>
      </c>
      <c r="H1" t="s">
        <v>682</v>
      </c>
      <c r="I1" s="98" t="str">
        <f>M1</f>
        <v>@anxkfrleh25!$</v>
      </c>
      <c r="J1" s="98" t="s">
        <v>683</v>
      </c>
      <c r="L1" s="91" t="s">
        <v>647</v>
      </c>
      <c r="M1" s="96" t="s">
        <v>659</v>
      </c>
      <c r="O1" t="s">
        <v>693</v>
      </c>
    </row>
    <row r="2" spans="1:15">
      <c r="A2" t="str">
        <f t="shared" ref="A2:A5" si="0">CONCATENATE(C2,D2,E2,F2,G2,H2,I2,J2,K2)</f>
        <v>ALTER USER 'LRM_SEL' IDENTIFIED WITH caching_sha2_password BY '$27m#ouhzqoa2';</v>
      </c>
      <c r="C2" t="s">
        <v>678</v>
      </c>
      <c r="E2" s="98" t="str">
        <f t="shared" ref="E2:E6" si="1">L2</f>
        <v>LRM_SEL</v>
      </c>
      <c r="F2" s="98" t="s">
        <v>680</v>
      </c>
      <c r="G2" t="s">
        <v>681</v>
      </c>
      <c r="H2" t="s">
        <v>682</v>
      </c>
      <c r="I2" s="98" t="str">
        <f t="shared" ref="I2:I6" si="2">M2</f>
        <v>$27m#ouhzqoa2</v>
      </c>
      <c r="J2" s="98" t="s">
        <v>683</v>
      </c>
      <c r="L2" s="101" t="s">
        <v>660</v>
      </c>
      <c r="M2" s="91" t="s">
        <v>686</v>
      </c>
      <c r="O2" t="s">
        <v>687</v>
      </c>
    </row>
    <row r="3" spans="1:15">
      <c r="A3" t="str">
        <f t="shared" si="0"/>
        <v>ALTER USER 'LRM_WAS' IDENTIFIED WITH caching_sha2_password BY '!ai03%lrdibw';</v>
      </c>
      <c r="C3" t="s">
        <v>678</v>
      </c>
      <c r="E3" s="98" t="str">
        <f t="shared" si="1"/>
        <v>LRM_WAS</v>
      </c>
      <c r="F3" s="98" t="s">
        <v>680</v>
      </c>
      <c r="G3" t="s">
        <v>681</v>
      </c>
      <c r="H3" t="s">
        <v>682</v>
      </c>
      <c r="I3" s="98" t="str">
        <f t="shared" si="2"/>
        <v>!ai03%lrdibw</v>
      </c>
      <c r="J3" s="98" t="s">
        <v>683</v>
      </c>
      <c r="L3" s="101" t="s">
        <v>685</v>
      </c>
      <c r="M3" s="91" t="s">
        <v>164</v>
      </c>
      <c r="O3" t="s">
        <v>692</v>
      </c>
    </row>
    <row r="4" spans="1:15">
      <c r="A4" t="str">
        <f t="shared" si="0"/>
        <v>ALTER USER 'LRW_WAS' IDENTIFIED WITH caching_sha2_password BY '^fnf!rg82igq';</v>
      </c>
      <c r="C4" t="s">
        <v>678</v>
      </c>
      <c r="E4" s="98" t="str">
        <f t="shared" si="1"/>
        <v>LRW_WAS</v>
      </c>
      <c r="F4" s="98" t="s">
        <v>680</v>
      </c>
      <c r="G4" t="s">
        <v>681</v>
      </c>
      <c r="H4" t="s">
        <v>682</v>
      </c>
      <c r="I4" s="98" t="str">
        <f t="shared" si="2"/>
        <v>^fnf!rg82igq</v>
      </c>
      <c r="J4" s="98" t="s">
        <v>683</v>
      </c>
      <c r="L4" s="99" t="s">
        <v>688</v>
      </c>
      <c r="M4" s="91" t="s">
        <v>689</v>
      </c>
      <c r="O4" t="s">
        <v>690</v>
      </c>
    </row>
    <row r="5" spans="1:15">
      <c r="A5" t="str">
        <f t="shared" si="0"/>
        <v>ALTER USER 'LRW_SEL' IDENTIFIED WITH caching_sha2_password BY '8!coxzclx@wagv';</v>
      </c>
      <c r="C5" t="s">
        <v>678</v>
      </c>
      <c r="E5" s="98" t="str">
        <f t="shared" si="1"/>
        <v>LRW_SEL</v>
      </c>
      <c r="F5" s="98" t="s">
        <v>680</v>
      </c>
      <c r="G5" t="s">
        <v>681</v>
      </c>
      <c r="H5" t="s">
        <v>682</v>
      </c>
      <c r="I5" s="98" t="str">
        <f t="shared" si="2"/>
        <v>8!coxzclx@wagv</v>
      </c>
      <c r="J5" s="98" t="s">
        <v>683</v>
      </c>
      <c r="L5" s="100" t="s">
        <v>676</v>
      </c>
      <c r="M5" s="97" t="s">
        <v>677</v>
      </c>
      <c r="O5" t="s">
        <v>691</v>
      </c>
    </row>
    <row r="6" spans="1:15">
      <c r="A6" t="str">
        <f>CONCATENATE(C6,D6,E6,F6,G6,H6,I6,J6,K6)</f>
        <v>ALTER USER 'LRW_ADMIN' IDENTIFIED WITH caching_sha2_password BY '@anxkfrleh25!%';</v>
      </c>
      <c r="C6" t="s">
        <v>678</v>
      </c>
      <c r="E6" s="98" t="str">
        <f t="shared" si="1"/>
        <v>LRW_ADMIN</v>
      </c>
      <c r="F6" s="98" t="s">
        <v>680</v>
      </c>
      <c r="G6" t="s">
        <v>681</v>
      </c>
      <c r="H6" t="s">
        <v>682</v>
      </c>
      <c r="I6" t="str">
        <f t="shared" si="2"/>
        <v>@anxkfrleh25!%</v>
      </c>
      <c r="J6" s="98" t="s">
        <v>683</v>
      </c>
      <c r="L6" t="s">
        <v>698</v>
      </c>
      <c r="M6" s="102" t="s">
        <v>697</v>
      </c>
    </row>
    <row r="11" spans="1:15">
      <c r="A11" t="s">
        <v>694</v>
      </c>
    </row>
    <row r="21" spans="1:1">
      <c r="A21" s="159" t="s">
        <v>684</v>
      </c>
    </row>
    <row r="22" spans="1:1">
      <c r="A22" s="136"/>
    </row>
    <row r="23" spans="1:1">
      <c r="A23" s="136"/>
    </row>
    <row r="24" spans="1:1">
      <c r="A24" s="136"/>
    </row>
    <row r="25" spans="1:1">
      <c r="A25" s="136"/>
    </row>
    <row r="26" spans="1:1">
      <c r="A26" s="136"/>
    </row>
    <row r="27" spans="1:1">
      <c r="A27" s="136"/>
    </row>
    <row r="28" spans="1:1">
      <c r="A28" s="136"/>
    </row>
    <row r="29" spans="1:1">
      <c r="A29" s="136"/>
    </row>
    <row r="30" spans="1:1">
      <c r="A30" s="136"/>
    </row>
    <row r="31" spans="1:1">
      <c r="A31" s="136"/>
    </row>
    <row r="32" spans="1:1">
      <c r="A32" s="136"/>
    </row>
    <row r="33" spans="1:1">
      <c r="A33" s="136"/>
    </row>
  </sheetData>
  <mergeCells count="1">
    <mergeCell ref="A21:A33"/>
  </mergeCells>
  <phoneticPr fontId="3" type="noConversion"/>
  <hyperlinks>
    <hyperlink ref="M5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Views>
    <sheetView workbookViewId="0">
      <selection activeCell="F11" sqref="F11"/>
    </sheetView>
  </sheetViews>
  <sheetFormatPr defaultRowHeight="17.399999999999999"/>
  <cols>
    <col min="1" max="1" width="14.19921875" bestFit="1" customWidth="1"/>
    <col min="2" max="2" width="18.69921875" bestFit="1" customWidth="1"/>
    <col min="3" max="3" width="17.796875" bestFit="1" customWidth="1"/>
  </cols>
  <sheetData>
    <row r="1" spans="1:5">
      <c r="A1" s="104" t="s">
        <v>714</v>
      </c>
      <c r="B1" s="104" t="s">
        <v>716</v>
      </c>
      <c r="C1" s="104" t="s">
        <v>712</v>
      </c>
      <c r="D1" s="104"/>
      <c r="E1" s="104"/>
    </row>
    <row r="2" spans="1:5">
      <c r="A2" s="91" t="s">
        <v>715</v>
      </c>
      <c r="B2" s="91" t="s">
        <v>717</v>
      </c>
      <c r="C2" s="91" t="s">
        <v>713</v>
      </c>
      <c r="D2" s="91"/>
      <c r="E2" s="91"/>
    </row>
    <row r="3" spans="1:5">
      <c r="A3" s="91"/>
      <c r="B3" s="91"/>
      <c r="C3" s="91"/>
      <c r="D3" s="91"/>
      <c r="E3" s="91"/>
    </row>
    <row r="4" spans="1:5">
      <c r="A4" s="91"/>
      <c r="B4" s="91"/>
      <c r="C4" s="91"/>
      <c r="D4" s="91"/>
      <c r="E4" s="91"/>
    </row>
    <row r="5" spans="1:5">
      <c r="A5" s="91"/>
      <c r="B5" s="91"/>
      <c r="C5" s="91"/>
      <c r="D5" s="91"/>
      <c r="E5" s="91"/>
    </row>
    <row r="6" spans="1:5">
      <c r="A6" s="91"/>
      <c r="B6" s="91"/>
      <c r="C6" s="91"/>
      <c r="D6" s="91"/>
      <c r="E6" s="91"/>
    </row>
    <row r="7" spans="1:5">
      <c r="A7" s="91"/>
      <c r="B7" s="91"/>
      <c r="C7" s="91"/>
      <c r="D7" s="91"/>
      <c r="E7" s="91"/>
    </row>
    <row r="8" spans="1:5">
      <c r="A8" s="91"/>
      <c r="B8" s="91"/>
      <c r="C8" s="91"/>
      <c r="D8" s="91"/>
      <c r="E8" s="91"/>
    </row>
    <row r="9" spans="1:5">
      <c r="A9" s="91"/>
      <c r="B9" s="91"/>
      <c r="C9" s="91"/>
      <c r="D9" s="91"/>
      <c r="E9" s="91"/>
    </row>
    <row r="10" spans="1:5">
      <c r="A10" s="91"/>
      <c r="B10" s="91"/>
      <c r="C10" s="91"/>
      <c r="D10" s="91"/>
      <c r="E10" s="91"/>
    </row>
    <row r="11" spans="1:5">
      <c r="A11" s="91"/>
      <c r="B11" s="91"/>
      <c r="C11" s="91"/>
      <c r="D11" s="91"/>
      <c r="E11" s="91"/>
    </row>
    <row r="12" spans="1:5">
      <c r="A12" s="91"/>
      <c r="B12" s="91"/>
      <c r="C12" s="91"/>
      <c r="D12" s="91"/>
      <c r="E12" s="91"/>
    </row>
    <row r="13" spans="1:5">
      <c r="A13" s="91"/>
      <c r="B13" s="91"/>
      <c r="C13" s="91"/>
      <c r="D13" s="91"/>
      <c r="E13" s="91"/>
    </row>
    <row r="14" spans="1:5">
      <c r="A14" s="91"/>
      <c r="B14" s="91"/>
      <c r="C14" s="91"/>
      <c r="D14" s="91"/>
      <c r="E14" s="91"/>
    </row>
    <row r="15" spans="1:5">
      <c r="A15" s="91"/>
      <c r="B15" s="91"/>
      <c r="C15" s="91"/>
      <c r="D15" s="91"/>
      <c r="E15" s="91"/>
    </row>
    <row r="16" spans="1:5">
      <c r="A16" s="91"/>
      <c r="B16" s="91"/>
      <c r="C16" s="91"/>
      <c r="D16" s="91"/>
      <c r="E16" s="91"/>
    </row>
    <row r="17" spans="1:5">
      <c r="A17" s="91"/>
      <c r="B17" s="91"/>
      <c r="C17" s="91"/>
      <c r="D17" s="91"/>
      <c r="E17" s="91"/>
    </row>
    <row r="18" spans="1:5">
      <c r="A18" s="91"/>
      <c r="B18" s="91"/>
      <c r="C18" s="91"/>
      <c r="D18" s="91"/>
      <c r="E18" s="91"/>
    </row>
    <row r="19" spans="1:5">
      <c r="A19" s="91"/>
      <c r="B19" s="91"/>
      <c r="C19" s="91"/>
      <c r="D19" s="91"/>
      <c r="E19" s="91"/>
    </row>
    <row r="20" spans="1:5">
      <c r="A20" s="91"/>
      <c r="B20" s="91"/>
      <c r="C20" s="91"/>
      <c r="D20" s="91"/>
      <c r="E20" s="91"/>
    </row>
    <row r="21" spans="1:5">
      <c r="A21" s="91"/>
      <c r="B21" s="91"/>
      <c r="C21" s="91"/>
      <c r="D21" s="91"/>
      <c r="E21" s="91"/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0411</vt:lpstr>
      <vt:lpstr>계정정보</vt:lpstr>
      <vt:lpstr> lms prd mysql jdbc 현황</vt:lpstr>
      <vt:lpstr>통합안_20250908_1차</vt:lpstr>
      <vt:lpstr>Sheet1</vt:lpstr>
      <vt:lpstr>Sheet3</vt:lpstr>
      <vt:lpstr>기타DB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2025-02-11T23:08:16Z</dcterms:created>
  <dcterms:modified xsi:type="dcterms:W3CDTF">2025-10-20T06:38:08Z</dcterms:modified>
</cp:coreProperties>
</file>